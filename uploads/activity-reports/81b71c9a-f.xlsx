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Thông Số &amp; Giá Xe" sheetId="1" state="visible" r:id="rId3"/>
    <sheet name="2. Lệ Phí Trước Bạ" sheetId="2" state="visible" r:id="rId4"/>
    <sheet name="3. Bảo Hiểm" sheetId="3" state="visible" r:id="rId5"/>
    <sheet name="4. Tổng Chi Phí Lăn Bánh" sheetId="4" state="visible" r:id="rId6"/>
    <sheet name="5. Tài Chính" sheetId="5" state="visible" r:id="rId7"/>
    <sheet name="Hướng Dẫ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<sst xmlns="http://schemas.openxmlformats.org/spreadsheetml/2006/main" count="464" uniqueCount="315">
  <si>
    <t xml:space="preserve">BẢNG GIÁ NIÊM YẾT &amp; THÔNG SỐ XE TOYOTA 2025</t>
  </si>
  <si>
    <t xml:space="preserve">Nguồn: Toyota Vietnam · Giá chưa bao gồm phí trước bạ và bảo hiểm</t>
  </si>
  <si>
    <t xml:space="preserve">#</t>
  </si>
  <si>
    <t xml:space="preserve">Dòng Xe</t>
  </si>
  <si>
    <t xml:space="preserve">Phiên Bản</t>
  </si>
  <si>
    <t xml:space="preserve">Phân Khúc</t>
  </si>
  <si>
    <t xml:space="preserve">Số Chỗ</t>
  </si>
  <si>
    <t xml:space="preserve">Động Cơ</t>
  </si>
  <si>
    <t xml:space="preserve">Hộp Số</t>
  </si>
  <si>
    <t xml:space="preserve">Giá Niêm Yết (₫)</t>
  </si>
  <si>
    <t xml:space="preserve">Màu Sắc Có Sẵn</t>
  </si>
  <si>
    <t xml:space="preserve">Ghi Chú</t>
  </si>
  <si>
    <t xml:space="preserve">Wigo</t>
  </si>
  <si>
    <t xml:space="preserve">1.2 AT</t>
  </si>
  <si>
    <t xml:space="preserve">Hatchback A</t>
  </si>
  <si>
    <t xml:space="preserve">1.2L DOHC 4 xi-lanh</t>
  </si>
  <si>
    <t xml:space="preserve">CVT</t>
  </si>
  <si>
    <t xml:space="preserve">Trắng, Đỏ, Xám, Đen</t>
  </si>
  <si>
    <t xml:space="preserve">Vios</t>
  </si>
  <si>
    <t xml:space="preserve">1.5E MT</t>
  </si>
  <si>
    <t xml:space="preserve">Sedan B</t>
  </si>
  <si>
    <t xml:space="preserve">1.5L Dual VVT-i</t>
  </si>
  <si>
    <t xml:space="preserve">MT</t>
  </si>
  <si>
    <t xml:space="preserve">Bạc, Đen, Trắng ngọc trai</t>
  </si>
  <si>
    <t xml:space="preserve">1.5E CVT</t>
  </si>
  <si>
    <t xml:space="preserve">1.5G CVT</t>
  </si>
  <si>
    <t xml:space="preserve">Bạc, Đen, Trắng ngọc trai, Xanh</t>
  </si>
  <si>
    <t xml:space="preserve">Veloz Cross</t>
  </si>
  <si>
    <t xml:space="preserve">1.5 CVT</t>
  </si>
  <si>
    <t xml:space="preserve">MPV B</t>
  </si>
  <si>
    <t xml:space="preserve">Trắng ngọc trai, Bạc, Đen</t>
  </si>
  <si>
    <t xml:space="preserve">1.5 CVT HEV</t>
  </si>
  <si>
    <t xml:space="preserve">1.5L HEV (Hybrid)</t>
  </si>
  <si>
    <t xml:space="preserve">e-CVT</t>
  </si>
  <si>
    <t xml:space="preserve">HEV - Tiết kiệm nhiên liệu</t>
  </si>
  <si>
    <t xml:space="preserve">Avanza Premio</t>
  </si>
  <si>
    <t xml:space="preserve">1.5 AT</t>
  </si>
  <si>
    <t xml:space="preserve">MPV A</t>
  </si>
  <si>
    <t xml:space="preserve">AT</t>
  </si>
  <si>
    <t xml:space="preserve">Trắng, Bạc, Đen</t>
  </si>
  <si>
    <t xml:space="preserve">Yaris Cross</t>
  </si>
  <si>
    <t xml:space="preserve">1.5 HV 2WD</t>
  </si>
  <si>
    <t xml:space="preserve">Crossover B</t>
  </si>
  <si>
    <t xml:space="preserve">Trắng ngọc trai, Bạc, Đỏ, Đen</t>
  </si>
  <si>
    <t xml:space="preserve">HEV</t>
  </si>
  <si>
    <t xml:space="preserve">1.5 HV AWD-i</t>
  </si>
  <si>
    <t xml:space="preserve">HEV + AWD</t>
  </si>
  <si>
    <t xml:space="preserve">Corolla Cross</t>
  </si>
  <si>
    <t xml:space="preserve">1.8V</t>
  </si>
  <si>
    <t xml:space="preserve">Crossover C</t>
  </si>
  <si>
    <t xml:space="preserve">1.8L Hybrid</t>
  </si>
  <si>
    <t xml:space="preserve">Trắng, Đen, Xám, Bạc, Đỏ</t>
  </si>
  <si>
    <t xml:space="preserve">1.8HV (top)</t>
  </si>
  <si>
    <t xml:space="preserve">HEV Top</t>
  </si>
  <si>
    <t xml:space="preserve">Innova Cross</t>
  </si>
  <si>
    <t xml:space="preserve">2.0 CVT</t>
  </si>
  <si>
    <t xml:space="preserve">MPV C</t>
  </si>
  <si>
    <t xml:space="preserve">2.0L Dual VVT-i</t>
  </si>
  <si>
    <t xml:space="preserve">Trắng ngọc trai, Đen, Xám</t>
  </si>
  <si>
    <t xml:space="preserve">2.0 CVT HEV</t>
  </si>
  <si>
    <t xml:space="preserve">2.0L HEV</t>
  </si>
  <si>
    <t xml:space="preserve">Corolla Altis</t>
  </si>
  <si>
    <t xml:space="preserve">Sedan C</t>
  </si>
  <si>
    <t xml:space="preserve">Trắng, Đen, Bạc, Xám</t>
  </si>
  <si>
    <t xml:space="preserve">2.0GR-S</t>
  </si>
  <si>
    <t xml:space="preserve">2.0L Dynamic Force</t>
  </si>
  <si>
    <t xml:space="preserve">Trắng, Đen, Đỏ</t>
  </si>
  <si>
    <t xml:space="preserve">Sport</t>
  </si>
  <si>
    <t xml:space="preserve">Camry</t>
  </si>
  <si>
    <t xml:space="preserve">2.0G</t>
  </si>
  <si>
    <t xml:space="preserve">Sedan D</t>
  </si>
  <si>
    <t xml:space="preserve">2.0L D-4ST</t>
  </si>
  <si>
    <t xml:space="preserve">8AT</t>
  </si>
  <si>
    <t xml:space="preserve">Trắng ngọc trai, Đen, Bạc, Xám</t>
  </si>
  <si>
    <t xml:space="preserve">2.5HV</t>
  </si>
  <si>
    <t xml:space="preserve">2.5L HEV</t>
  </si>
  <si>
    <t xml:space="preserve">Raize</t>
  </si>
  <si>
    <t xml:space="preserve">1.0T CVT</t>
  </si>
  <si>
    <t xml:space="preserve">SUV A</t>
  </si>
  <si>
    <t xml:space="preserve">1.0L Turbo</t>
  </si>
  <si>
    <t xml:space="preserve">Trắng ngọc trai, Đỏ, Xanh, Đen</t>
  </si>
  <si>
    <t xml:space="preserve">Turbo</t>
  </si>
  <si>
    <t xml:space="preserve">Fortuner</t>
  </si>
  <si>
    <t xml:space="preserve">2.4G MT 4x2</t>
  </si>
  <si>
    <t xml:space="preserve">SUV D</t>
  </si>
  <si>
    <t xml:space="preserve">2.4L Diesel</t>
  </si>
  <si>
    <t xml:space="preserve">Trắng, Bạc, Đen, Xám</t>
  </si>
  <si>
    <t xml:space="preserve">Diesel</t>
  </si>
  <si>
    <t xml:space="preserve">2.4G AT 4x2</t>
  </si>
  <si>
    <t xml:space="preserve">6AT</t>
  </si>
  <si>
    <t xml:space="preserve">2.8V AT 4x4</t>
  </si>
  <si>
    <t xml:space="preserve">2.8L Diesel</t>
  </si>
  <si>
    <t xml:space="preserve">Diesel 4x4</t>
  </si>
  <si>
    <t xml:space="preserve">Hilux</t>
  </si>
  <si>
    <t xml:space="preserve">2.4E AT 4x2</t>
  </si>
  <si>
    <t xml:space="preserve">Pick-up</t>
  </si>
  <si>
    <t xml:space="preserve">Trắng, Bạc, Xám</t>
  </si>
  <si>
    <t xml:space="preserve">2.8G AT 4x4</t>
  </si>
  <si>
    <t xml:space="preserve">Trắng, Bạc, Xám, Đen</t>
  </si>
  <si>
    <t xml:space="preserve">Land Cruiser Prado</t>
  </si>
  <si>
    <t xml:space="preserve">VX 2.8L</t>
  </si>
  <si>
    <t xml:space="preserve">SUV F</t>
  </si>
  <si>
    <t xml:space="preserve">2.8L Diesel 4x4</t>
  </si>
  <si>
    <t xml:space="preserve">Trắng ngọc trai, Đen, Vàng</t>
  </si>
  <si>
    <t xml:space="preserve">Nhập khẩu</t>
  </si>
  <si>
    <t xml:space="preserve">Land Cruiser</t>
  </si>
  <si>
    <t xml:space="preserve">GX.R 3.5L</t>
  </si>
  <si>
    <t xml:space="preserve">3.5L Twin Turbo V6</t>
  </si>
  <si>
    <t xml:space="preserve">10AT</t>
  </si>
  <si>
    <t xml:space="preserve">Trắng ngọc trai, Đen, Bạc</t>
  </si>
  <si>
    <t xml:space="preserve">Nhập khẩu CBU</t>
  </si>
  <si>
    <t xml:space="preserve">Alphard</t>
  </si>
  <si>
    <t xml:space="preserve">2.5L HV</t>
  </si>
  <si>
    <t xml:space="preserve">MPV F</t>
  </si>
  <si>
    <t xml:space="preserve">Trắng ngọc trai, Nâu ánh vàng, Đen</t>
  </si>
  <si>
    <t xml:space="preserve">Trắng ngọc trai (089), Nâu ánh vàng (4Y7), Đen (202)</t>
  </si>
  <si>
    <t xml:space="preserve">HEV - Phiên bản hiện tại</t>
  </si>
  <si>
    <t xml:space="preserve">BẢNG LỆ PHÍ TRƯỚC BẠ THEO TỈNH/THÀNH PHỐ</t>
  </si>
  <si>
    <t xml:space="preserve">Căn cứ Nghị định 10/2022/NĐ-CP và các sửa đổi · Cập nhật 2025</t>
  </si>
  <si>
    <t xml:space="preserve">Tỉnh/Thành Phố</t>
  </si>
  <si>
    <t xml:space="preserve">Xe ≤ 1.5 tỷ (lần đầu)</t>
  </si>
  <si>
    <t xml:space="preserve">Xe &gt; 1.5 tỷ (lần đầu)</t>
  </si>
  <si>
    <t xml:space="preserve">Lần thứ 2 trở đi</t>
  </si>
  <si>
    <t xml:space="preserve">Xe điện</t>
  </si>
  <si>
    <t xml:space="preserve">Xe lai (HEV)</t>
  </si>
  <si>
    <t xml:space="preserve">Hiệu lực từ</t>
  </si>
  <si>
    <t xml:space="preserve">Hà Nội</t>
  </si>
  <si>
    <t xml:space="preserve">Giảm 50% nếu đăng ký lần đầu trong đợt giảm phí</t>
  </si>
  <si>
    <t xml:space="preserve">01/2023</t>
  </si>
  <si>
    <t xml:space="preserve">TP. Hồ Chí Minh</t>
  </si>
  <si>
    <t xml:space="preserve">Không phân biệt xe dưới / trên 1.5 tỷ</t>
  </si>
  <si>
    <t xml:space="preserve">Đà Nẵng</t>
  </si>
  <si>
    <t xml:space="preserve">Xe ≤ 1.5 tỷ áp dụng 5%</t>
  </si>
  <si>
    <t xml:space="preserve">Hải Phòng</t>
  </si>
  <si>
    <t xml:space="preserve">Cần Thơ</t>
  </si>
  <si>
    <t xml:space="preserve">Bình Dương</t>
  </si>
  <si>
    <t xml:space="preserve">Đồng Nai</t>
  </si>
  <si>
    <t xml:space="preserve">Các tỉnh còn lại</t>
  </si>
  <si>
    <t xml:space="preserve">Áp dụng mức chung</t>
  </si>
  <si>
    <t xml:space="preserve">BẢNG PHÍ BẢO HIỂM XE Ô TÔ TOYOTA 2025</t>
  </si>
  <si>
    <t xml:space="preserve">Mức phí tham chiếu · Thực tế có thể khác theo công ty bảo hiểm và gói chọn</t>
  </si>
  <si>
    <t xml:space="preserve">A. BẢO HIỂM TRÁCH NHIỆM DÂN SỰ BẮT BUỘC (Theo NĐ 03/2021/NĐ-CP)</t>
  </si>
  <si>
    <t xml:space="preserve">Loại xe</t>
  </si>
  <si>
    <t xml:space="preserve">Số chỗ</t>
  </si>
  <si>
    <t xml:space="preserve">Phí 1 năm (₫)</t>
  </si>
  <si>
    <t xml:space="preserve">Phí 2 năm (₫)</t>
  </si>
  <si>
    <t xml:space="preserve">Phí 3 năm (₫)</t>
  </si>
  <si>
    <t xml:space="preserve">Quyền lợi người / vụ</t>
  </si>
  <si>
    <t xml:space="preserve">Xe con (≤9 chỗ) không KD</t>
  </si>
  <si>
    <t xml:space="preserve">≤9</t>
  </si>
  <si>
    <t xml:space="preserve">150 tr/người · 50 tr/vụ</t>
  </si>
  <si>
    <t xml:space="preserve">Mức tối thiểu bắt buộc</t>
  </si>
  <si>
    <t xml:space="preserve">Xe con (≤9 chỗ) kinh doanh</t>
  </si>
  <si>
    <t xml:space="preserve">KD vận tải hành khách</t>
  </si>
  <si>
    <t xml:space="preserve">Xe từ 10-15 chỗ</t>
  </si>
  <si>
    <t xml:space="preserve">10-15</t>
  </si>
  <si>
    <t xml:space="preserve">Xe từ 16-30 chỗ</t>
  </si>
  <si>
    <t xml:space="preserve">16-30</t>
  </si>
  <si>
    <t xml:space="preserve">Xe trên 30 chỗ</t>
  </si>
  <si>
    <t xml:space="preserve">&gt;30</t>
  </si>
  <si>
    <t xml:space="preserve">Xe tải ≤3 tấn</t>
  </si>
  <si>
    <t xml:space="preserve">N/A</t>
  </si>
  <si>
    <t xml:space="preserve">100 tr/người · 50 tr/vụ</t>
  </si>
  <si>
    <t xml:space="preserve">B. BẢO HIỂM VẬT CHẤT XE (Theo giá trị xe)</t>
  </si>
  <si>
    <t xml:space="preserve">Giá Xe (₫)</t>
  </si>
  <si>
    <t xml:space="preserve">Gói Bạc (2%/năm)</t>
  </si>
  <si>
    <t xml:space="preserve">Gói Vàng (~2.64%/năm)</t>
  </si>
  <si>
    <t xml:space="preserve">Gói Bạch Kim (3%/năm)</t>
  </si>
  <si>
    <t xml:space="preserve">Wigo 1.2 AT</t>
  </si>
  <si>
    <t xml:space="preserve">Vios 1.5G CVT</t>
  </si>
  <si>
    <t xml:space="preserve">Veloz Cross CVT</t>
  </si>
  <si>
    <t xml:space="preserve">Yaris Cross HV 2WD</t>
  </si>
  <si>
    <t xml:space="preserve">Raize 1.0T CVT</t>
  </si>
  <si>
    <t xml:space="preserve">Corolla Cross 1.8HV</t>
  </si>
  <si>
    <t xml:space="preserve">Innova Cross HEV</t>
  </si>
  <si>
    <t xml:space="preserve">Camry 2.5HV</t>
  </si>
  <si>
    <t xml:space="preserve">Fortuner 2.8V 4x4</t>
  </si>
  <si>
    <t xml:space="preserve">Alphard HEV</t>
  </si>
  <si>
    <t xml:space="preserve">C. BẢO HIỂM TRÁCH NHIỆM DÂN SỰ TỰ NGUYỆN &amp; TAI NẠN LÁI XE</t>
  </si>
  <si>
    <t xml:space="preserve">Loại bảo hiểm</t>
  </si>
  <si>
    <t xml:space="preserve">Mức bảo hiểm</t>
  </si>
  <si>
    <t xml:space="preserve">BHTNDS tự nguyện</t>
  </si>
  <si>
    <t xml:space="preserve">50 triệu/vụ</t>
  </si>
  <si>
    <t xml:space="preserve">100 triệu/vụ</t>
  </si>
  <si>
    <t xml:space="preserve">Phổ biến nhất</t>
  </si>
  <si>
    <t xml:space="preserve">200 triệu/vụ</t>
  </si>
  <si>
    <t xml:space="preserve">Alphard HEV đang dùng</t>
  </si>
  <si>
    <t xml:space="preserve">500 triệu/vụ</t>
  </si>
  <si>
    <t xml:space="preserve">BH tai nạn lái xe &amp; hành khách</t>
  </si>
  <si>
    <t xml:space="preserve">10 triệu/người</t>
  </si>
  <si>
    <t xml:space="preserve">20 triệu/người</t>
  </si>
  <si>
    <t xml:space="preserve">50 triệu/người</t>
  </si>
  <si>
    <t xml:space="preserve">100 triệu/người</t>
  </si>
  <si>
    <t xml:space="preserve">200 triệu/người</t>
  </si>
  <si>
    <t xml:space="preserve">500 triệu/người</t>
  </si>
  <si>
    <t xml:space="preserve">BẢNG TỔNG HỢP CHI PHÍ LĂN BÁNH XE TOYOTA 2025 · TP.HCM · KHÔNG KINH DOANH</t>
  </si>
  <si>
    <t xml:space="preserve">Tỉ lệ trước bạ 10% · Gói bảo hiểm vật chất Vàng 2.64% · BHTNDS TN 100tr · BH tai nạn 100tr/người</t>
  </si>
  <si>
    <t xml:space="preserve">Dòng Xe / Phiên Bản</t>
  </si>
  <si>
    <t xml:space="preserve">Trước Bạ 10% (₫)</t>
  </si>
  <si>
    <t xml:space="preserve">Đăng Kiểm (₫)</t>
  </si>
  <si>
    <t xml:space="preserve">BH Bắt Buộc (₫)</t>
  </si>
  <si>
    <t xml:space="preserve">BH Vật Chất Vàng (₫)</t>
  </si>
  <si>
    <t xml:space="preserve">BH TN Tự Nguyện (₫)</t>
  </si>
  <si>
    <t xml:space="preserve">BH Tai Nạn (₫)</t>
  </si>
  <si>
    <t xml:space="preserve">Tổng BH (₫)</t>
  </si>
  <si>
    <t xml:space="preserve">Tổng Lăn Bánh (₫)</t>
  </si>
  <si>
    <t xml:space="preserve">% Phí / Giá Xe</t>
  </si>
  <si>
    <t xml:space="preserve">Vios 1.5E CVT</t>
  </si>
  <si>
    <t xml:space="preserve">Veloz Cross 1.5 CVT</t>
  </si>
  <si>
    <t xml:space="preserve">Veloz Cross HEV</t>
  </si>
  <si>
    <t xml:space="preserve">Avanza Premio 1.5 AT</t>
  </si>
  <si>
    <t xml:space="preserve">Yaris Cross HV AWD-i</t>
  </si>
  <si>
    <t xml:space="preserve">Corolla Cross 1.8V</t>
  </si>
  <si>
    <t xml:space="preserve">Innova Cross 2.0 CVT</t>
  </si>
  <si>
    <t xml:space="preserve">Corolla Altis 1.8V</t>
  </si>
  <si>
    <t xml:space="preserve">Corolla Altis 2.0GR-S</t>
  </si>
  <si>
    <t xml:space="preserve">Camry 2.0G</t>
  </si>
  <si>
    <t xml:space="preserve">Fortuner 2.4G AT 4x2</t>
  </si>
  <si>
    <t xml:space="preserve">Fortuner 2.8V AT 4x4</t>
  </si>
  <si>
    <t xml:space="preserve">Hilux 2.8G AT 4x4</t>
  </si>
  <si>
    <t xml:space="preserve">Land Cruiser Prado VX</t>
  </si>
  <si>
    <t xml:space="preserve">Land Cruiser GX.R</t>
  </si>
  <si>
    <t xml:space="preserve">Alphard 2.5L HV</t>
  </si>
  <si>
    <t xml:space="preserve">Alphard HEV ★</t>
  </si>
  <si>
    <t xml:space="preserve">BẢNG GIẢI PHÁP TÀI CHÍNH XE TOYOTA 2025</t>
  </si>
  <si>
    <t xml:space="preserve">A. CÁC GÓI TÀI CHÍNH TOYOTA</t>
  </si>
  <si>
    <t xml:space="preserve">Gói Tài Chính</t>
  </si>
  <si>
    <t xml:space="preserve">Mô Tả</t>
  </si>
  <si>
    <t xml:space="preserve">Thời Hạn (tháng)</t>
  </si>
  <si>
    <t xml:space="preserve">Lãi Suất</t>
  </si>
  <si>
    <t xml:space="preserve">Trả Trước Tối Thiểu</t>
  </si>
  <si>
    <t xml:space="preserve">Đặc Điểm Chính</t>
  </si>
  <si>
    <t xml:space="preserve">Phù Hợp</t>
  </si>
  <si>
    <t xml:space="preserve">50/50</t>
  </si>
  <si>
    <t xml:space="preserve">Trả 50% đầu, 50% cuối kỳ (balloon)</t>
  </si>
  <si>
    <t xml:space="preserve">12 / 24 / 36</t>
  </si>
  <si>
    <t xml:space="preserve">4.99% - 7.49%</t>
  </si>
  <si>
    <t xml:space="preserve">45-50% giá xe</t>
  </si>
  <si>
    <t xml:space="preserve">Khoản cuối lớn; phù hợp ai có dòng tiền cuối kỳ</t>
  </si>
  <si>
    <t xml:space="preserve">Doanh nhân, đầu tư</t>
  </si>
  <si>
    <t xml:space="preserve">50/50 Plus 24 tháng</t>
  </si>
  <si>
    <t xml:space="preserve">Biến thể 50/50 kỳ hạn 24 tháng</t>
  </si>
  <si>
    <t xml:space="preserve">24</t>
  </si>
  <si>
    <t xml:space="preserve">4.99%</t>
  </si>
  <si>
    <t xml:space="preserve">45% giá xe</t>
  </si>
  <si>
    <t xml:space="preserve">Lãi suất ưu đãi, kỳ hạn trung bình</t>
  </si>
  <si>
    <t xml:space="preserve">Cá nhân thu nhập đều</t>
  </si>
  <si>
    <t xml:space="preserve">50/50 Plus 36 tháng</t>
  </si>
  <si>
    <t xml:space="preserve">Biến thể 50/50 kỳ hạn 36 tháng</t>
  </si>
  <si>
    <t xml:space="preserve">36</t>
  </si>
  <si>
    <t xml:space="preserve">40% giá xe</t>
  </si>
  <si>
    <t xml:space="preserve">Kỳ hạn dài, lãi suất cố định thấp</t>
  </si>
  <si>
    <t xml:space="preserve">Cá nhân cần linh hoạt</t>
  </si>
  <si>
    <t xml:space="preserve">Balloon</t>
  </si>
  <si>
    <t xml:space="preserve">Trả góp đều + khoản balloon cuối</t>
  </si>
  <si>
    <t xml:space="preserve">24 - 60</t>
  </si>
  <si>
    <t xml:space="preserve">6.5% - 8.5%</t>
  </si>
  <si>
    <t xml:space="preserve">30-40% giá xe</t>
  </si>
  <si>
    <t xml:space="preserve">Phân bổ đều kỳ trả + khoản lớn cuối</t>
  </si>
  <si>
    <t xml:space="preserve">Doanh nghiệp</t>
  </si>
  <si>
    <t xml:space="preserve">Truyền thống</t>
  </si>
  <si>
    <t xml:space="preserve">Trả góp đều hàng tháng</t>
  </si>
  <si>
    <t xml:space="preserve">12 - 84</t>
  </si>
  <si>
    <t xml:space="preserve">7.5% - 9.5%</t>
  </si>
  <si>
    <t xml:space="preserve">20-30% giá xe</t>
  </si>
  <si>
    <t xml:space="preserve">Không balloon, trả đều từng kỳ</t>
  </si>
  <si>
    <t xml:space="preserve">Phổ biến nhất - cá nhân</t>
  </si>
  <si>
    <t xml:space="preserve">Gói dành riêng pháp nhân</t>
  </si>
  <si>
    <t xml:space="preserve">12 - 60</t>
  </si>
  <si>
    <t xml:space="preserve">7.49%</t>
  </si>
  <si>
    <t xml:space="preserve">30% giá xe</t>
  </si>
  <si>
    <t xml:space="preserve">Khấu hao, lãi vay tính vào chi phí</t>
  </si>
  <si>
    <t xml:space="preserve">Công ty, doanh nghiệp</t>
  </si>
  <si>
    <t xml:space="preserve">B. ƯỚC TÍNH GÓI TÀI CHÍNH TRUYỀN THỐNG 36 THÁNG · LÃI 8%/NĂM</t>
  </si>
  <si>
    <t xml:space="preserve">Trả Trước 30% (₫)</t>
  </si>
  <si>
    <t xml:space="preserve">Số Tiền Vay (₫)</t>
  </si>
  <si>
    <t xml:space="preserve">Lãi Suất/Năm</t>
  </si>
  <si>
    <t xml:space="preserve">Kỳ Hạn (tháng)</t>
  </si>
  <si>
    <t xml:space="preserve">Trả Góp/Tháng (₫)</t>
  </si>
  <si>
    <t xml:space="preserve">Tổng Trả (₫)</t>
  </si>
  <si>
    <t xml:space="preserve">Tổng Lãi (₫)</t>
  </si>
  <si>
    <t xml:space="preserve">Yaris Cross HV</t>
  </si>
  <si>
    <t xml:space="preserve">Corolla Cross HV</t>
  </si>
  <si>
    <t xml:space="preserve">HƯỚNG DẪN SỬ DỤNG BẢNG DỰ TOÁN CHI PHÍ XE TOYOTA</t>
  </si>
  <si>
    <t xml:space="preserve">Sheet</t>
  </si>
  <si>
    <t xml:space="preserve">Nội Dung</t>
  </si>
  <si>
    <t xml:space="preserve">1. Thông Số &amp; Giá Xe</t>
  </si>
  <si>
    <t xml:space="preserve">Toàn bộ dòng xe, phiên bản, giá niêm yết 2025</t>
  </si>
  <si>
    <t xml:space="preserve">2. Lệ Phí Trước Bạ</t>
  </si>
  <si>
    <t xml:space="preserve">Tỉ lệ trước bạ theo tỉnh/thành</t>
  </si>
  <si>
    <t xml:space="preserve">3. Bảo Hiểm</t>
  </si>
  <si>
    <t xml:space="preserve">Phí BHTNDS bắt buộc, vật chất, TN tự nguyện, tai nạn</t>
  </si>
  <si>
    <t xml:space="preserve">4. Tổng Chi Phí Lăn Bánh</t>
  </si>
  <si>
    <t xml:space="preserve">Bảng tổng hợp toàn bộ chi phí thực tế khi mua xe</t>
  </si>
  <si>
    <t xml:space="preserve">5. Tài Chính</t>
  </si>
  <si>
    <t xml:space="preserve">Gói tài chính Toyota và ước tính trả góp</t>
  </si>
  <si>
    <t xml:space="preserve">MÀU SẮC Ô</t>
  </si>
  <si>
    <t xml:space="preserve">Ý NGHĨA</t>
  </si>
  <si>
    <t xml:space="preserve">Xanh (Blue text)</t>
  </si>
  <si>
    <t xml:space="preserve">Giá trị đầu vào - Có thể thay đổi để tính toán</t>
  </si>
  <si>
    <t xml:space="preserve">Đen (Black text)</t>
  </si>
  <si>
    <t xml:space="preserve">Công thức - Tự động tính toán</t>
  </si>
  <si>
    <t xml:space="preserve">Vàng nhạt (nền)</t>
  </si>
  <si>
    <t xml:space="preserve">Xe tham chiếu hiện tại: Alphard HEV</t>
  </si>
  <si>
    <t xml:space="preserve">Xanh nhạt (nền xen kẽ)</t>
  </si>
  <si>
    <t xml:space="preserve">Hàng chẵn - dễ đọc</t>
  </si>
  <si>
    <t xml:space="preserve">LƯU Ý QUAN TRỌNG</t>
  </si>
  <si>
    <t xml:space="preserve">Tỉ lệ trước bạ</t>
  </si>
  <si>
    <t xml:space="preserve">10% áp dụng tại TP.HCM và Hà Nội cho xe &gt; 1.5 tỷ. Cập nhật theo Nghị định mới nhất trước khi dùng.</t>
  </si>
  <si>
    <t xml:space="preserve">Giá bảo hiểm vật chất</t>
  </si>
  <si>
    <t xml:space="preserve">2.64% (Gói Vàng) là tỉ lệ tham chiếu. Thực tế do công ty BH quyết định.</t>
  </si>
  <si>
    <t xml:space="preserve">Lãi suất vay</t>
  </si>
  <si>
    <t xml:space="preserve">Thay đổi theo thời điểm và chính sách Toyota Financial Services Vietnam.</t>
  </si>
  <si>
    <t xml:space="preserve">Giá niêm yết</t>
  </si>
  <si>
    <t xml:space="preserve">Có thể thay đổi. Kiểm tra tại toyota.com.vn trước khi tư vấn khách hàng.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</si>
</sst>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₫&quot;"/>
    <numFmt numFmtId="166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2D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B2D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38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n">
        <v>1</v>
      </c>
      <c r="B4" s="5" t="s">
        <v>12</v>
      </c>
      <c r="C4" s="5" t="s">
        <v>13</v>
      </c>
      <c r="D4" s="5" t="s">
        <v>14</v>
      </c>
      <c r="E4" s="4" t="n">
        <v>5</v>
      </c>
      <c r="F4" s="4" t="s">
        <v>15</v>
      </c>
      <c r="G4" s="4" t="s">
        <v>16</v>
      </c>
      <c r="H4" s="6" t="n">
        <v>352000000</v>
      </c>
      <c r="I4" s="5" t="s">
        <v>17</v>
      </c>
      <c r="J4" s="5"/>
    </row>
    <row r="5" customFormat="false" ht="15" hidden="false" customHeight="false" outlineLevel="0" collapsed="false">
      <c r="A5" s="7" t="n">
        <v>2</v>
      </c>
      <c r="B5" s="8" t="s">
        <v>18</v>
      </c>
      <c r="C5" s="8" t="s">
        <v>19</v>
      </c>
      <c r="D5" s="8" t="s">
        <v>20</v>
      </c>
      <c r="E5" s="7" t="n">
        <v>5</v>
      </c>
      <c r="F5" s="7" t="s">
        <v>21</v>
      </c>
      <c r="G5" s="7" t="s">
        <v>22</v>
      </c>
      <c r="H5" s="9" t="n">
        <v>479000000</v>
      </c>
      <c r="I5" s="8" t="s">
        <v>23</v>
      </c>
      <c r="J5" s="8"/>
    </row>
    <row r="6" customFormat="false" ht="15" hidden="false" customHeight="false" outlineLevel="0" collapsed="false">
      <c r="A6" s="4" t="n">
        <v>3</v>
      </c>
      <c r="B6" s="5" t="s">
        <v>18</v>
      </c>
      <c r="C6" s="5" t="s">
        <v>24</v>
      </c>
      <c r="D6" s="5" t="s">
        <v>20</v>
      </c>
      <c r="E6" s="4" t="n">
        <v>5</v>
      </c>
      <c r="F6" s="4" t="s">
        <v>21</v>
      </c>
      <c r="G6" s="4" t="s">
        <v>16</v>
      </c>
      <c r="H6" s="6" t="n">
        <v>518000000</v>
      </c>
      <c r="I6" s="5" t="s">
        <v>23</v>
      </c>
      <c r="J6" s="5"/>
    </row>
    <row r="7" customFormat="false" ht="15" hidden="false" customHeight="false" outlineLevel="0" collapsed="false">
      <c r="A7" s="7" t="n">
        <v>4</v>
      </c>
      <c r="B7" s="8" t="s">
        <v>18</v>
      </c>
      <c r="C7" s="8" t="s">
        <v>25</v>
      </c>
      <c r="D7" s="8" t="s">
        <v>20</v>
      </c>
      <c r="E7" s="7" t="n">
        <v>5</v>
      </c>
      <c r="F7" s="7" t="s">
        <v>21</v>
      </c>
      <c r="G7" s="7" t="s">
        <v>16</v>
      </c>
      <c r="H7" s="9" t="n">
        <v>569000000</v>
      </c>
      <c r="I7" s="8" t="s">
        <v>26</v>
      </c>
      <c r="J7" s="8"/>
    </row>
    <row r="8" customFormat="false" ht="15" hidden="false" customHeight="false" outlineLevel="0" collapsed="false">
      <c r="A8" s="4" t="n">
        <v>5</v>
      </c>
      <c r="B8" s="5" t="s">
        <v>27</v>
      </c>
      <c r="C8" s="5" t="s">
        <v>28</v>
      </c>
      <c r="D8" s="5" t="s">
        <v>29</v>
      </c>
      <c r="E8" s="4" t="n">
        <v>7</v>
      </c>
      <c r="F8" s="4" t="s">
        <v>21</v>
      </c>
      <c r="G8" s="4" t="s">
        <v>16</v>
      </c>
      <c r="H8" s="6" t="n">
        <v>648000000</v>
      </c>
      <c r="I8" s="5" t="s">
        <v>30</v>
      </c>
      <c r="J8" s="5"/>
    </row>
    <row r="9" customFormat="false" ht="15" hidden="false" customHeight="false" outlineLevel="0" collapsed="false">
      <c r="A9" s="7" t="n">
        <v>6</v>
      </c>
      <c r="B9" s="8" t="s">
        <v>27</v>
      </c>
      <c r="C9" s="8" t="s">
        <v>31</v>
      </c>
      <c r="D9" s="8" t="s">
        <v>29</v>
      </c>
      <c r="E9" s="7" t="n">
        <v>7</v>
      </c>
      <c r="F9" s="7" t="s">
        <v>32</v>
      </c>
      <c r="G9" s="7" t="s">
        <v>33</v>
      </c>
      <c r="H9" s="9" t="n">
        <v>746000000</v>
      </c>
      <c r="I9" s="8" t="s">
        <v>30</v>
      </c>
      <c r="J9" s="8" t="s">
        <v>34</v>
      </c>
    </row>
    <row r="10" customFormat="false" ht="15" hidden="false" customHeight="false" outlineLevel="0" collapsed="false">
      <c r="A10" s="4" t="n">
        <v>7</v>
      </c>
      <c r="B10" s="5" t="s">
        <v>35</v>
      </c>
      <c r="C10" s="5" t="s">
        <v>36</v>
      </c>
      <c r="D10" s="5" t="s">
        <v>37</v>
      </c>
      <c r="E10" s="4" t="n">
        <v>7</v>
      </c>
      <c r="F10" s="4" t="s">
        <v>21</v>
      </c>
      <c r="G10" s="4" t="s">
        <v>38</v>
      </c>
      <c r="H10" s="6" t="n">
        <v>548000000</v>
      </c>
      <c r="I10" s="5" t="s">
        <v>39</v>
      </c>
      <c r="J10" s="5"/>
    </row>
    <row r="11" customFormat="false" ht="15" hidden="false" customHeight="false" outlineLevel="0" collapsed="false">
      <c r="A11" s="7" t="n">
        <v>8</v>
      </c>
      <c r="B11" s="8" t="s">
        <v>40</v>
      </c>
      <c r="C11" s="8" t="s">
        <v>41</v>
      </c>
      <c r="D11" s="8" t="s">
        <v>42</v>
      </c>
      <c r="E11" s="7" t="n">
        <v>5</v>
      </c>
      <c r="F11" s="7" t="s">
        <v>32</v>
      </c>
      <c r="G11" s="7" t="s">
        <v>33</v>
      </c>
      <c r="H11" s="9" t="n">
        <v>750000000</v>
      </c>
      <c r="I11" s="8" t="s">
        <v>43</v>
      </c>
      <c r="J11" s="8" t="s">
        <v>44</v>
      </c>
    </row>
    <row r="12" customFormat="false" ht="15" hidden="false" customHeight="false" outlineLevel="0" collapsed="false">
      <c r="A12" s="4" t="n">
        <v>9</v>
      </c>
      <c r="B12" s="5" t="s">
        <v>40</v>
      </c>
      <c r="C12" s="5" t="s">
        <v>45</v>
      </c>
      <c r="D12" s="5" t="s">
        <v>42</v>
      </c>
      <c r="E12" s="4" t="n">
        <v>5</v>
      </c>
      <c r="F12" s="4" t="s">
        <v>32</v>
      </c>
      <c r="G12" s="4" t="s">
        <v>33</v>
      </c>
      <c r="H12" s="6" t="n">
        <v>870000000</v>
      </c>
      <c r="I12" s="5" t="s">
        <v>43</v>
      </c>
      <c r="J12" s="5" t="s">
        <v>46</v>
      </c>
    </row>
    <row r="13" customFormat="false" ht="15" hidden="false" customHeight="false" outlineLevel="0" collapsed="false">
      <c r="A13" s="7" t="n">
        <v>10</v>
      </c>
      <c r="B13" s="8" t="s">
        <v>47</v>
      </c>
      <c r="C13" s="8" t="s">
        <v>48</v>
      </c>
      <c r="D13" s="8" t="s">
        <v>49</v>
      </c>
      <c r="E13" s="7" t="n">
        <v>5</v>
      </c>
      <c r="F13" s="7" t="s">
        <v>50</v>
      </c>
      <c r="G13" s="7" t="s">
        <v>33</v>
      </c>
      <c r="H13" s="9" t="n">
        <v>905000000</v>
      </c>
      <c r="I13" s="8" t="s">
        <v>51</v>
      </c>
      <c r="J13" s="8"/>
    </row>
    <row r="14" customFormat="false" ht="15" hidden="false" customHeight="false" outlineLevel="0" collapsed="false">
      <c r="A14" s="4" t="n">
        <v>11</v>
      </c>
      <c r="B14" s="5" t="s">
        <v>47</v>
      </c>
      <c r="C14" s="5" t="s">
        <v>52</v>
      </c>
      <c r="D14" s="5" t="s">
        <v>49</v>
      </c>
      <c r="E14" s="4" t="n">
        <v>5</v>
      </c>
      <c r="F14" s="4" t="s">
        <v>50</v>
      </c>
      <c r="G14" s="4" t="s">
        <v>33</v>
      </c>
      <c r="H14" s="6" t="n">
        <v>980000000</v>
      </c>
      <c r="I14" s="5" t="s">
        <v>51</v>
      </c>
      <c r="J14" s="5" t="s">
        <v>53</v>
      </c>
    </row>
    <row r="15" customFormat="false" ht="15" hidden="false" customHeight="false" outlineLevel="0" collapsed="false">
      <c r="A15" s="7" t="n">
        <v>12</v>
      </c>
      <c r="B15" s="8" t="s">
        <v>54</v>
      </c>
      <c r="C15" s="8" t="s">
        <v>55</v>
      </c>
      <c r="D15" s="8" t="s">
        <v>56</v>
      </c>
      <c r="E15" s="7" t="n">
        <v>7</v>
      </c>
      <c r="F15" s="7" t="s">
        <v>57</v>
      </c>
      <c r="G15" s="7" t="s">
        <v>16</v>
      </c>
      <c r="H15" s="9" t="n">
        <v>810000000</v>
      </c>
      <c r="I15" s="8" t="s">
        <v>58</v>
      </c>
      <c r="J15" s="8"/>
    </row>
    <row r="16" customFormat="false" ht="15" hidden="false" customHeight="false" outlineLevel="0" collapsed="false">
      <c r="A16" s="4" t="n">
        <v>13</v>
      </c>
      <c r="B16" s="5" t="s">
        <v>54</v>
      </c>
      <c r="C16" s="5" t="s">
        <v>59</v>
      </c>
      <c r="D16" s="5" t="s">
        <v>56</v>
      </c>
      <c r="E16" s="4" t="n">
        <v>7</v>
      </c>
      <c r="F16" s="4" t="s">
        <v>60</v>
      </c>
      <c r="G16" s="4" t="s">
        <v>33</v>
      </c>
      <c r="H16" s="6" t="n">
        <v>990000000</v>
      </c>
      <c r="I16" s="5" t="s">
        <v>58</v>
      </c>
      <c r="J16" s="5" t="s">
        <v>44</v>
      </c>
    </row>
    <row r="17" customFormat="false" ht="15" hidden="false" customHeight="false" outlineLevel="0" collapsed="false">
      <c r="A17" s="7" t="n">
        <v>14</v>
      </c>
      <c r="B17" s="8" t="s">
        <v>61</v>
      </c>
      <c r="C17" s="8" t="s">
        <v>48</v>
      </c>
      <c r="D17" s="8" t="s">
        <v>62</v>
      </c>
      <c r="E17" s="7" t="n">
        <v>5</v>
      </c>
      <c r="F17" s="7" t="s">
        <v>50</v>
      </c>
      <c r="G17" s="7" t="s">
        <v>33</v>
      </c>
      <c r="H17" s="9" t="n">
        <v>824000000</v>
      </c>
      <c r="I17" s="8" t="s">
        <v>63</v>
      </c>
      <c r="J17" s="8"/>
    </row>
    <row r="18" customFormat="false" ht="15" hidden="false" customHeight="false" outlineLevel="0" collapsed="false">
      <c r="A18" s="4" t="n">
        <v>15</v>
      </c>
      <c r="B18" s="5" t="s">
        <v>61</v>
      </c>
      <c r="C18" s="5" t="s">
        <v>64</v>
      </c>
      <c r="D18" s="5" t="s">
        <v>62</v>
      </c>
      <c r="E18" s="4" t="n">
        <v>5</v>
      </c>
      <c r="F18" s="4" t="s">
        <v>65</v>
      </c>
      <c r="G18" s="4" t="s">
        <v>16</v>
      </c>
      <c r="H18" s="6" t="n">
        <v>930000000</v>
      </c>
      <c r="I18" s="5" t="s">
        <v>66</v>
      </c>
      <c r="J18" s="5" t="s">
        <v>67</v>
      </c>
    </row>
    <row r="19" customFormat="false" ht="15" hidden="false" customHeight="false" outlineLevel="0" collapsed="false">
      <c r="A19" s="7" t="n">
        <v>16</v>
      </c>
      <c r="B19" s="8" t="s">
        <v>68</v>
      </c>
      <c r="C19" s="8" t="s">
        <v>69</v>
      </c>
      <c r="D19" s="8" t="s">
        <v>70</v>
      </c>
      <c r="E19" s="7" t="n">
        <v>5</v>
      </c>
      <c r="F19" s="7" t="s">
        <v>71</v>
      </c>
      <c r="G19" s="7" t="s">
        <v>72</v>
      </c>
      <c r="H19" s="9" t="n">
        <v>1235000000</v>
      </c>
      <c r="I19" s="8" t="s">
        <v>73</v>
      </c>
      <c r="J19" s="8"/>
    </row>
    <row r="20" customFormat="false" ht="15" hidden="false" customHeight="false" outlineLevel="0" collapsed="false">
      <c r="A20" s="4" t="n">
        <v>17</v>
      </c>
      <c r="B20" s="5" t="s">
        <v>68</v>
      </c>
      <c r="C20" s="5" t="s">
        <v>74</v>
      </c>
      <c r="D20" s="5" t="s">
        <v>70</v>
      </c>
      <c r="E20" s="4" t="n">
        <v>5</v>
      </c>
      <c r="F20" s="4" t="s">
        <v>75</v>
      </c>
      <c r="G20" s="4" t="s">
        <v>33</v>
      </c>
      <c r="H20" s="6" t="n">
        <v>1535000000</v>
      </c>
      <c r="I20" s="5" t="s">
        <v>73</v>
      </c>
      <c r="J20" s="5" t="s">
        <v>44</v>
      </c>
    </row>
    <row r="21" customFormat="false" ht="15" hidden="false" customHeight="false" outlineLevel="0" collapsed="false">
      <c r="A21" s="7" t="n">
        <v>18</v>
      </c>
      <c r="B21" s="8" t="s">
        <v>76</v>
      </c>
      <c r="C21" s="8" t="s">
        <v>77</v>
      </c>
      <c r="D21" s="8" t="s">
        <v>78</v>
      </c>
      <c r="E21" s="7" t="n">
        <v>5</v>
      </c>
      <c r="F21" s="7" t="s">
        <v>79</v>
      </c>
      <c r="G21" s="7" t="s">
        <v>16</v>
      </c>
      <c r="H21" s="9" t="n">
        <v>598000000</v>
      </c>
      <c r="I21" s="8" t="s">
        <v>80</v>
      </c>
      <c r="J21" s="8" t="s">
        <v>81</v>
      </c>
    </row>
    <row r="22" customFormat="false" ht="15" hidden="false" customHeight="false" outlineLevel="0" collapsed="false">
      <c r="A22" s="4" t="n">
        <v>19</v>
      </c>
      <c r="B22" s="5" t="s">
        <v>82</v>
      </c>
      <c r="C22" s="5" t="s">
        <v>83</v>
      </c>
      <c r="D22" s="5" t="s">
        <v>84</v>
      </c>
      <c r="E22" s="4" t="n">
        <v>7</v>
      </c>
      <c r="F22" s="4" t="s">
        <v>85</v>
      </c>
      <c r="G22" s="4" t="s">
        <v>22</v>
      </c>
      <c r="H22" s="6" t="n">
        <v>1036000000</v>
      </c>
      <c r="I22" s="5" t="s">
        <v>86</v>
      </c>
      <c r="J22" s="5" t="s">
        <v>87</v>
      </c>
    </row>
    <row r="23" customFormat="false" ht="15" hidden="false" customHeight="false" outlineLevel="0" collapsed="false">
      <c r="A23" s="7" t="n">
        <v>20</v>
      </c>
      <c r="B23" s="8" t="s">
        <v>82</v>
      </c>
      <c r="C23" s="8" t="s">
        <v>88</v>
      </c>
      <c r="D23" s="8" t="s">
        <v>84</v>
      </c>
      <c r="E23" s="7" t="n">
        <v>7</v>
      </c>
      <c r="F23" s="7" t="s">
        <v>85</v>
      </c>
      <c r="G23" s="7" t="s">
        <v>89</v>
      </c>
      <c r="H23" s="9" t="n">
        <v>1121000000</v>
      </c>
      <c r="I23" s="8" t="s">
        <v>86</v>
      </c>
      <c r="J23" s="8" t="s">
        <v>87</v>
      </c>
    </row>
    <row r="24" customFormat="false" ht="15" hidden="false" customHeight="false" outlineLevel="0" collapsed="false">
      <c r="A24" s="4" t="n">
        <v>21</v>
      </c>
      <c r="B24" s="5" t="s">
        <v>82</v>
      </c>
      <c r="C24" s="5" t="s">
        <v>90</v>
      </c>
      <c r="D24" s="5" t="s">
        <v>84</v>
      </c>
      <c r="E24" s="4" t="n">
        <v>7</v>
      </c>
      <c r="F24" s="4" t="s">
        <v>91</v>
      </c>
      <c r="G24" s="4" t="s">
        <v>89</v>
      </c>
      <c r="H24" s="6" t="n">
        <v>1426000000</v>
      </c>
      <c r="I24" s="5" t="s">
        <v>86</v>
      </c>
      <c r="J24" s="5" t="s">
        <v>92</v>
      </c>
    </row>
    <row r="25" customFormat="false" ht="15" hidden="false" customHeight="false" outlineLevel="0" collapsed="false">
      <c r="A25" s="7" t="n">
        <v>22</v>
      </c>
      <c r="B25" s="8" t="s">
        <v>93</v>
      </c>
      <c r="C25" s="8" t="s">
        <v>94</v>
      </c>
      <c r="D25" s="8" t="s">
        <v>95</v>
      </c>
      <c r="E25" s="7" t="n">
        <v>5</v>
      </c>
      <c r="F25" s="7" t="s">
        <v>85</v>
      </c>
      <c r="G25" s="7" t="s">
        <v>89</v>
      </c>
      <c r="H25" s="9" t="n">
        <v>668000000</v>
      </c>
      <c r="I25" s="8" t="s">
        <v>96</v>
      </c>
      <c r="J25" s="8" t="s">
        <v>87</v>
      </c>
    </row>
    <row r="26" customFormat="false" ht="15" hidden="false" customHeight="false" outlineLevel="0" collapsed="false">
      <c r="A26" s="4" t="n">
        <v>23</v>
      </c>
      <c r="B26" s="5" t="s">
        <v>93</v>
      </c>
      <c r="C26" s="5" t="s">
        <v>97</v>
      </c>
      <c r="D26" s="5" t="s">
        <v>95</v>
      </c>
      <c r="E26" s="4" t="n">
        <v>5</v>
      </c>
      <c r="F26" s="4" t="s">
        <v>91</v>
      </c>
      <c r="G26" s="4" t="s">
        <v>89</v>
      </c>
      <c r="H26" s="6" t="n">
        <v>980000000</v>
      </c>
      <c r="I26" s="5" t="s">
        <v>98</v>
      </c>
      <c r="J26" s="5" t="s">
        <v>92</v>
      </c>
    </row>
    <row r="27" customFormat="false" ht="15" hidden="false" customHeight="false" outlineLevel="0" collapsed="false">
      <c r="A27" s="7" t="n">
        <v>24</v>
      </c>
      <c r="B27" s="8" t="s">
        <v>99</v>
      </c>
      <c r="C27" s="8" t="s">
        <v>100</v>
      </c>
      <c r="D27" s="8" t="s">
        <v>101</v>
      </c>
      <c r="E27" s="7" t="n">
        <v>7</v>
      </c>
      <c r="F27" s="7" t="s">
        <v>102</v>
      </c>
      <c r="G27" s="7" t="s">
        <v>72</v>
      </c>
      <c r="H27" s="9" t="n">
        <v>2750000000</v>
      </c>
      <c r="I27" s="8" t="s">
        <v>103</v>
      </c>
      <c r="J27" s="8" t="s">
        <v>104</v>
      </c>
    </row>
    <row r="28" customFormat="false" ht="15" hidden="false" customHeight="false" outlineLevel="0" collapsed="false">
      <c r="A28" s="4" t="n">
        <v>25</v>
      </c>
      <c r="B28" s="5" t="s">
        <v>105</v>
      </c>
      <c r="C28" s="5" t="s">
        <v>106</v>
      </c>
      <c r="D28" s="5" t="s">
        <v>101</v>
      </c>
      <c r="E28" s="4" t="n">
        <v>8</v>
      </c>
      <c r="F28" s="4" t="s">
        <v>107</v>
      </c>
      <c r="G28" s="4" t="s">
        <v>108</v>
      </c>
      <c r="H28" s="6" t="n">
        <v>4350000000</v>
      </c>
      <c r="I28" s="5" t="s">
        <v>109</v>
      </c>
      <c r="J28" s="5" t="s">
        <v>110</v>
      </c>
    </row>
    <row r="29" customFormat="false" ht="15" hidden="false" customHeight="false" outlineLevel="0" collapsed="false">
      <c r="A29" s="7" t="n">
        <v>26</v>
      </c>
      <c r="B29" s="8" t="s">
        <v>111</v>
      </c>
      <c r="C29" s="8" t="s">
        <v>112</v>
      </c>
      <c r="D29" s="8" t="s">
        <v>113</v>
      </c>
      <c r="E29" s="7" t="n">
        <v>7</v>
      </c>
      <c r="F29" s="7" t="s">
        <v>75</v>
      </c>
      <c r="G29" s="7" t="s">
        <v>33</v>
      </c>
      <c r="H29" s="9" t="n">
        <v>4235000000</v>
      </c>
      <c r="I29" s="8" t="s">
        <v>114</v>
      </c>
      <c r="J29" s="8" t="s">
        <v>44</v>
      </c>
    </row>
    <row r="30" customFormat="false" ht="18" hidden="false" customHeight="true" outlineLevel="0" collapsed="false">
      <c r="A30" s="10" t="n">
        <v>27</v>
      </c>
      <c r="B30" s="11" t="s">
        <v>111</v>
      </c>
      <c r="C30" s="11" t="s">
        <v>44</v>
      </c>
      <c r="D30" s="11" t="s">
        <v>113</v>
      </c>
      <c r="E30" s="10" t="n">
        <v>7</v>
      </c>
      <c r="F30" s="10" t="s">
        <v>75</v>
      </c>
      <c r="G30" s="10" t="s">
        <v>33</v>
      </c>
      <c r="H30" s="12" t="n">
        <v>4435000000</v>
      </c>
      <c r="I30" s="11" t="s">
        <v>115</v>
      </c>
      <c r="J30" s="11" t="s">
        <v>116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38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13" t="s">
        <v>117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2" t="s">
        <v>118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11</v>
      </c>
      <c r="H3" s="3" t="s">
        <v>125</v>
      </c>
    </row>
    <row r="4" customFormat="false" ht="15" hidden="false" customHeight="false" outlineLevel="0" collapsed="false">
      <c r="A4" s="5" t="s">
        <v>126</v>
      </c>
      <c r="B4" s="14" t="n">
        <v>0.1</v>
      </c>
      <c r="C4" s="14" t="n">
        <v>0.1</v>
      </c>
      <c r="D4" s="14" t="n">
        <v>0.05</v>
      </c>
      <c r="E4" s="14" t="n">
        <v>0</v>
      </c>
      <c r="F4" s="14" t="n">
        <v>0.1</v>
      </c>
      <c r="G4" s="5" t="s">
        <v>127</v>
      </c>
      <c r="H4" s="4" t="s">
        <v>128</v>
      </c>
    </row>
    <row r="5" customFormat="false" ht="15" hidden="false" customHeight="false" outlineLevel="0" collapsed="false">
      <c r="A5" s="8" t="s">
        <v>129</v>
      </c>
      <c r="B5" s="15" t="n">
        <v>0.1</v>
      </c>
      <c r="C5" s="15" t="n">
        <v>0.1</v>
      </c>
      <c r="D5" s="15" t="n">
        <v>0.05</v>
      </c>
      <c r="E5" s="15" t="n">
        <v>0</v>
      </c>
      <c r="F5" s="15" t="n">
        <v>0.1</v>
      </c>
      <c r="G5" s="8" t="s">
        <v>130</v>
      </c>
      <c r="H5" s="7" t="s">
        <v>128</v>
      </c>
    </row>
    <row r="6" customFormat="false" ht="15" hidden="false" customHeight="false" outlineLevel="0" collapsed="false">
      <c r="A6" s="5" t="s">
        <v>131</v>
      </c>
      <c r="B6" s="14" t="n">
        <v>0.05</v>
      </c>
      <c r="C6" s="14" t="n">
        <v>0.1</v>
      </c>
      <c r="D6" s="14" t="n">
        <v>0.05</v>
      </c>
      <c r="E6" s="14" t="n">
        <v>0</v>
      </c>
      <c r="F6" s="14" t="n">
        <v>0.05</v>
      </c>
      <c r="G6" s="5" t="s">
        <v>132</v>
      </c>
      <c r="H6" s="4" t="s">
        <v>128</v>
      </c>
    </row>
    <row r="7" customFormat="false" ht="15" hidden="false" customHeight="false" outlineLevel="0" collapsed="false">
      <c r="A7" s="8" t="s">
        <v>133</v>
      </c>
      <c r="B7" s="15" t="n">
        <v>0.1</v>
      </c>
      <c r="C7" s="15" t="n">
        <v>0.1</v>
      </c>
      <c r="D7" s="15" t="n">
        <v>0.05</v>
      </c>
      <c r="E7" s="15" t="n">
        <v>0</v>
      </c>
      <c r="F7" s="15" t="n">
        <v>0.1</v>
      </c>
      <c r="G7" s="8"/>
      <c r="H7" s="7" t="s">
        <v>128</v>
      </c>
    </row>
    <row r="8" customFormat="false" ht="15" hidden="false" customHeight="false" outlineLevel="0" collapsed="false">
      <c r="A8" s="5" t="s">
        <v>134</v>
      </c>
      <c r="B8" s="14" t="n">
        <v>0.1</v>
      </c>
      <c r="C8" s="14" t="n">
        <v>0.1</v>
      </c>
      <c r="D8" s="14" t="n">
        <v>0.05</v>
      </c>
      <c r="E8" s="14" t="n">
        <v>0</v>
      </c>
      <c r="F8" s="14" t="n">
        <v>0.1</v>
      </c>
      <c r="G8" s="5"/>
      <c r="H8" s="4" t="s">
        <v>128</v>
      </c>
    </row>
    <row r="9" customFormat="false" ht="15" hidden="false" customHeight="false" outlineLevel="0" collapsed="false">
      <c r="A9" s="8" t="s">
        <v>135</v>
      </c>
      <c r="B9" s="15" t="n">
        <v>0.1</v>
      </c>
      <c r="C9" s="15" t="n">
        <v>0.1</v>
      </c>
      <c r="D9" s="15" t="n">
        <v>0.05</v>
      </c>
      <c r="E9" s="15" t="n">
        <v>0</v>
      </c>
      <c r="F9" s="15" t="n">
        <v>0.1</v>
      </c>
      <c r="G9" s="8"/>
      <c r="H9" s="7" t="s">
        <v>128</v>
      </c>
    </row>
    <row r="10" customFormat="false" ht="15" hidden="false" customHeight="false" outlineLevel="0" collapsed="false">
      <c r="A10" s="5" t="s">
        <v>136</v>
      </c>
      <c r="B10" s="14" t="n">
        <v>0.1</v>
      </c>
      <c r="C10" s="14" t="n">
        <v>0.1</v>
      </c>
      <c r="D10" s="14" t="n">
        <v>0.05</v>
      </c>
      <c r="E10" s="14" t="n">
        <v>0</v>
      </c>
      <c r="F10" s="14" t="n">
        <v>0.1</v>
      </c>
      <c r="G10" s="5"/>
      <c r="H10" s="4" t="s">
        <v>128</v>
      </c>
    </row>
    <row r="11" customFormat="false" ht="15" hidden="false" customHeight="false" outlineLevel="0" collapsed="false">
      <c r="A11" s="8" t="s">
        <v>137</v>
      </c>
      <c r="B11" s="15" t="n">
        <v>0.1</v>
      </c>
      <c r="C11" s="15" t="n">
        <v>0.1</v>
      </c>
      <c r="D11" s="15" t="n">
        <v>0.05</v>
      </c>
      <c r="E11" s="15" t="n">
        <v>0</v>
      </c>
      <c r="F11" s="15" t="n">
        <v>0.1</v>
      </c>
      <c r="G11" s="8" t="s">
        <v>138</v>
      </c>
      <c r="H11" s="7" t="s">
        <v>128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5" min="3" style="0" width="1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3" t="s">
        <v>139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5" hidden="false" customHeight="fals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6" t="s">
        <v>141</v>
      </c>
      <c r="B3" s="16"/>
      <c r="C3" s="16"/>
      <c r="D3" s="16"/>
      <c r="E3" s="16"/>
      <c r="F3" s="16"/>
      <c r="G3" s="16"/>
      <c r="H3" s="16"/>
      <c r="I3" s="16"/>
      <c r="J3" s="16"/>
    </row>
    <row r="4" customFormat="false" ht="31.5" hidden="false" customHeight="true" outlineLevel="0" collapsed="false">
      <c r="A4" s="3" t="s">
        <v>142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147</v>
      </c>
      <c r="G4" s="3" t="s">
        <v>11</v>
      </c>
    </row>
    <row r="5" customFormat="false" ht="15" hidden="false" customHeight="false" outlineLevel="0" collapsed="false">
      <c r="A5" s="5" t="s">
        <v>148</v>
      </c>
      <c r="B5" s="4" t="s">
        <v>149</v>
      </c>
      <c r="C5" s="17" t="n">
        <v>1188000</v>
      </c>
      <c r="D5" s="17" t="n">
        <f aca="false">C6*2</f>
        <v>3536000</v>
      </c>
      <c r="E5" s="17" t="n">
        <f aca="false">C6*3</f>
        <v>5304000</v>
      </c>
      <c r="F5" s="5" t="s">
        <v>150</v>
      </c>
      <c r="G5" s="5" t="s">
        <v>151</v>
      </c>
    </row>
    <row r="6" customFormat="false" ht="15" hidden="false" customHeight="false" outlineLevel="0" collapsed="false">
      <c r="A6" s="8" t="s">
        <v>152</v>
      </c>
      <c r="B6" s="7" t="s">
        <v>149</v>
      </c>
      <c r="C6" s="18" t="n">
        <v>1768000</v>
      </c>
      <c r="D6" s="18" t="n">
        <f aca="false">C7*2</f>
        <v>4872000</v>
      </c>
      <c r="E6" s="18" t="n">
        <f aca="false">C7*3</f>
        <v>7308000</v>
      </c>
      <c r="F6" s="8" t="s">
        <v>150</v>
      </c>
      <c r="G6" s="8" t="s">
        <v>153</v>
      </c>
    </row>
    <row r="7" customFormat="false" ht="15" hidden="false" customHeight="false" outlineLevel="0" collapsed="false">
      <c r="A7" s="5" t="s">
        <v>154</v>
      </c>
      <c r="B7" s="4" t="s">
        <v>155</v>
      </c>
      <c r="C7" s="17" t="n">
        <v>2436000</v>
      </c>
      <c r="D7" s="17" t="n">
        <f aca="false">C8*2</f>
        <v>7056000</v>
      </c>
      <c r="E7" s="17" t="n">
        <f aca="false">C8*3</f>
        <v>10584000</v>
      </c>
      <c r="F7" s="5" t="s">
        <v>150</v>
      </c>
      <c r="G7" s="5"/>
    </row>
    <row r="8" customFormat="false" ht="15" hidden="false" customHeight="false" outlineLevel="0" collapsed="false">
      <c r="A8" s="8" t="s">
        <v>156</v>
      </c>
      <c r="B8" s="7" t="s">
        <v>157</v>
      </c>
      <c r="C8" s="18" t="n">
        <v>3528000</v>
      </c>
      <c r="D8" s="18" t="n">
        <f aca="false">C9*2</f>
        <v>9360000</v>
      </c>
      <c r="E8" s="18" t="n">
        <f aca="false">C9*3</f>
        <v>14040000</v>
      </c>
      <c r="F8" s="8" t="s">
        <v>150</v>
      </c>
      <c r="G8" s="8"/>
    </row>
    <row r="9" customFormat="false" ht="15" hidden="false" customHeight="false" outlineLevel="0" collapsed="false">
      <c r="A9" s="5" t="s">
        <v>158</v>
      </c>
      <c r="B9" s="4" t="s">
        <v>159</v>
      </c>
      <c r="C9" s="17" t="n">
        <v>4680000</v>
      </c>
      <c r="D9" s="17" t="n">
        <f aca="false">C10*2</f>
        <v>2160000</v>
      </c>
      <c r="E9" s="17" t="n">
        <f aca="false">C10*3</f>
        <v>3240000</v>
      </c>
      <c r="F9" s="5" t="s">
        <v>150</v>
      </c>
      <c r="G9" s="5"/>
    </row>
    <row r="10" customFormat="false" ht="15" hidden="false" customHeight="false" outlineLevel="0" collapsed="false">
      <c r="A10" s="8" t="s">
        <v>160</v>
      </c>
      <c r="B10" s="7" t="s">
        <v>161</v>
      </c>
      <c r="C10" s="18" t="n">
        <v>1080000</v>
      </c>
      <c r="D10" s="18" t="n">
        <f aca="false">C11*2</f>
        <v>0</v>
      </c>
      <c r="E10" s="18" t="n">
        <f aca="false">C11*3</f>
        <v>0</v>
      </c>
      <c r="F10" s="8" t="s">
        <v>162</v>
      </c>
      <c r="G10" s="8"/>
    </row>
    <row r="12" customFormat="false" ht="15" hidden="false" customHeight="false" outlineLevel="0" collapsed="false">
      <c r="A12" s="16" t="s">
        <v>163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31.5" hidden="false" customHeight="true" outlineLevel="0" collapsed="false">
      <c r="A13" s="3" t="s">
        <v>3</v>
      </c>
      <c r="B13" s="3" t="s">
        <v>164</v>
      </c>
      <c r="C13" s="3" t="s">
        <v>165</v>
      </c>
      <c r="D13" s="3" t="s">
        <v>166</v>
      </c>
      <c r="E13" s="3" t="s">
        <v>167</v>
      </c>
      <c r="F13" s="3" t="s">
        <v>143</v>
      </c>
      <c r="G13" s="3" t="s">
        <v>11</v>
      </c>
    </row>
    <row r="14" customFormat="false" ht="15" hidden="false" customHeight="false" outlineLevel="0" collapsed="false">
      <c r="A14" s="5" t="s">
        <v>168</v>
      </c>
      <c r="B14" s="6" t="n">
        <v>352000000</v>
      </c>
      <c r="C14" s="6" t="n">
        <f aca="false">B14*0.02</f>
        <v>7040000</v>
      </c>
      <c r="D14" s="6" t="n">
        <f aca="false">B14*0.0264</f>
        <v>9292800</v>
      </c>
      <c r="E14" s="6" t="n">
        <f aca="false">B14*0.03</f>
        <v>10560000</v>
      </c>
      <c r="F14" s="4" t="n">
        <v>5</v>
      </c>
      <c r="G14" s="5"/>
    </row>
    <row r="15" customFormat="false" ht="15" hidden="false" customHeight="false" outlineLevel="0" collapsed="false">
      <c r="A15" s="8" t="s">
        <v>169</v>
      </c>
      <c r="B15" s="9" t="n">
        <v>569000000</v>
      </c>
      <c r="C15" s="9" t="n">
        <f aca="false">B15*0.02</f>
        <v>11380000</v>
      </c>
      <c r="D15" s="9" t="n">
        <f aca="false">B15*0.0264</f>
        <v>15021600</v>
      </c>
      <c r="E15" s="9" t="n">
        <f aca="false">B15*0.03</f>
        <v>17070000</v>
      </c>
      <c r="F15" s="7" t="n">
        <v>5</v>
      </c>
      <c r="G15" s="8"/>
    </row>
    <row r="16" customFormat="false" ht="15" hidden="false" customHeight="false" outlineLevel="0" collapsed="false">
      <c r="A16" s="5" t="s">
        <v>170</v>
      </c>
      <c r="B16" s="6" t="n">
        <v>648000000</v>
      </c>
      <c r="C16" s="6" t="n">
        <f aca="false">B16*0.02</f>
        <v>12960000</v>
      </c>
      <c r="D16" s="6" t="n">
        <f aca="false">B16*0.0264</f>
        <v>17107200</v>
      </c>
      <c r="E16" s="6" t="n">
        <f aca="false">B16*0.03</f>
        <v>19440000</v>
      </c>
      <c r="F16" s="4" t="n">
        <v>7</v>
      </c>
      <c r="G16" s="5"/>
    </row>
    <row r="17" customFormat="false" ht="15" hidden="false" customHeight="false" outlineLevel="0" collapsed="false">
      <c r="A17" s="8" t="s">
        <v>171</v>
      </c>
      <c r="B17" s="9" t="n">
        <v>750000000</v>
      </c>
      <c r="C17" s="9" t="n">
        <f aca="false">B17*0.02</f>
        <v>15000000</v>
      </c>
      <c r="D17" s="9" t="n">
        <f aca="false">B17*0.0264</f>
        <v>19800000</v>
      </c>
      <c r="E17" s="9" t="n">
        <f aca="false">B17*0.03</f>
        <v>22500000</v>
      </c>
      <c r="F17" s="7" t="n">
        <v>5</v>
      </c>
      <c r="G17" s="8"/>
    </row>
    <row r="18" customFormat="false" ht="15" hidden="false" customHeight="false" outlineLevel="0" collapsed="false">
      <c r="A18" s="5" t="s">
        <v>172</v>
      </c>
      <c r="B18" s="6" t="n">
        <v>598000000</v>
      </c>
      <c r="C18" s="6" t="n">
        <f aca="false">B18*0.02</f>
        <v>11960000</v>
      </c>
      <c r="D18" s="6" t="n">
        <f aca="false">B18*0.0264</f>
        <v>15787200</v>
      </c>
      <c r="E18" s="6" t="n">
        <f aca="false">B18*0.03</f>
        <v>17940000</v>
      </c>
      <c r="F18" s="4" t="n">
        <v>5</v>
      </c>
      <c r="G18" s="5"/>
    </row>
    <row r="19" customFormat="false" ht="15" hidden="false" customHeight="false" outlineLevel="0" collapsed="false">
      <c r="A19" s="8" t="s">
        <v>173</v>
      </c>
      <c r="B19" s="9" t="n">
        <v>980000000</v>
      </c>
      <c r="C19" s="9" t="n">
        <f aca="false">B19*0.02</f>
        <v>19600000</v>
      </c>
      <c r="D19" s="9" t="n">
        <f aca="false">B19*0.0264</f>
        <v>25872000</v>
      </c>
      <c r="E19" s="9" t="n">
        <f aca="false">B19*0.03</f>
        <v>29400000</v>
      </c>
      <c r="F19" s="7" t="n">
        <v>5</v>
      </c>
      <c r="G19" s="8"/>
    </row>
    <row r="20" customFormat="false" ht="15" hidden="false" customHeight="false" outlineLevel="0" collapsed="false">
      <c r="A20" s="5" t="s">
        <v>174</v>
      </c>
      <c r="B20" s="6" t="n">
        <v>990000000</v>
      </c>
      <c r="C20" s="6" t="n">
        <f aca="false">B20*0.02</f>
        <v>19800000</v>
      </c>
      <c r="D20" s="6" t="n">
        <f aca="false">B20*0.0264</f>
        <v>26136000</v>
      </c>
      <c r="E20" s="6" t="n">
        <f aca="false">B20*0.03</f>
        <v>29700000</v>
      </c>
      <c r="F20" s="4" t="n">
        <v>7</v>
      </c>
      <c r="G20" s="5"/>
    </row>
    <row r="21" customFormat="false" ht="15" hidden="false" customHeight="false" outlineLevel="0" collapsed="false">
      <c r="A21" s="8" t="s">
        <v>175</v>
      </c>
      <c r="B21" s="9" t="n">
        <v>1535000000</v>
      </c>
      <c r="C21" s="9" t="n">
        <f aca="false">B21*0.02</f>
        <v>30700000</v>
      </c>
      <c r="D21" s="9" t="n">
        <f aca="false">B21*0.0264</f>
        <v>40524000</v>
      </c>
      <c r="E21" s="9" t="n">
        <f aca="false">B21*0.03</f>
        <v>46050000</v>
      </c>
      <c r="F21" s="7" t="n">
        <v>5</v>
      </c>
      <c r="G21" s="8"/>
    </row>
    <row r="22" customFormat="false" ht="15" hidden="false" customHeight="false" outlineLevel="0" collapsed="false">
      <c r="A22" s="5" t="s">
        <v>176</v>
      </c>
      <c r="B22" s="6" t="n">
        <v>1426000000</v>
      </c>
      <c r="C22" s="6" t="n">
        <f aca="false">B22*0.02</f>
        <v>28520000</v>
      </c>
      <c r="D22" s="6" t="n">
        <f aca="false">B22*0.0264</f>
        <v>37646400</v>
      </c>
      <c r="E22" s="6" t="n">
        <f aca="false">B22*0.03</f>
        <v>42780000</v>
      </c>
      <c r="F22" s="4" t="n">
        <v>7</v>
      </c>
      <c r="G22" s="5"/>
    </row>
    <row r="23" customFormat="false" ht="15" hidden="false" customHeight="false" outlineLevel="0" collapsed="false">
      <c r="A23" s="8" t="s">
        <v>99</v>
      </c>
      <c r="B23" s="9" t="n">
        <v>2750000000</v>
      </c>
      <c r="C23" s="9" t="n">
        <f aca="false">B23*0.02</f>
        <v>55000000</v>
      </c>
      <c r="D23" s="9" t="n">
        <f aca="false">B23*0.0264</f>
        <v>72600000</v>
      </c>
      <c r="E23" s="9" t="n">
        <f aca="false">B23*0.03</f>
        <v>82500000</v>
      </c>
      <c r="F23" s="7" t="n">
        <v>7</v>
      </c>
      <c r="G23" s="8"/>
    </row>
    <row r="24" customFormat="false" ht="15" hidden="false" customHeight="false" outlineLevel="0" collapsed="false">
      <c r="A24" s="5" t="s">
        <v>177</v>
      </c>
      <c r="B24" s="6" t="n">
        <v>4435000000</v>
      </c>
      <c r="C24" s="6" t="n">
        <f aca="false">B24*0.02</f>
        <v>88700000</v>
      </c>
      <c r="D24" s="6" t="n">
        <f aca="false">B24*0.0264</f>
        <v>117084000</v>
      </c>
      <c r="E24" s="6" t="n">
        <f aca="false">B24*0.03</f>
        <v>133050000</v>
      </c>
      <c r="F24" s="4" t="n">
        <v>7</v>
      </c>
      <c r="G24" s="5"/>
    </row>
    <row r="26" customFormat="false" ht="15" hidden="false" customHeight="false" outlineLevel="0" collapsed="false">
      <c r="A26" s="16" t="s">
        <v>178</v>
      </c>
      <c r="B26" s="16"/>
      <c r="C26" s="16"/>
      <c r="D26" s="16"/>
      <c r="E26" s="16"/>
      <c r="F26" s="16"/>
      <c r="G26" s="16"/>
      <c r="H26" s="16"/>
      <c r="I26" s="16"/>
      <c r="J26" s="16"/>
    </row>
    <row r="27" customFormat="false" ht="15" hidden="false" customHeight="false" outlineLevel="0" collapsed="false">
      <c r="A27" s="19" t="s">
        <v>179</v>
      </c>
      <c r="B27" s="19" t="s">
        <v>180</v>
      </c>
      <c r="C27" s="19" t="s">
        <v>144</v>
      </c>
      <c r="D27" s="19" t="s">
        <v>11</v>
      </c>
    </row>
    <row r="28" customFormat="false" ht="15" hidden="false" customHeight="false" outlineLevel="0" collapsed="false">
      <c r="A28" s="5" t="s">
        <v>181</v>
      </c>
      <c r="B28" s="5" t="s">
        <v>182</v>
      </c>
      <c r="C28" s="6" t="n">
        <v>490000</v>
      </c>
      <c r="D28" s="5"/>
    </row>
    <row r="29" customFormat="false" ht="15" hidden="false" customHeight="false" outlineLevel="0" collapsed="false">
      <c r="A29" s="8" t="s">
        <v>181</v>
      </c>
      <c r="B29" s="8" t="s">
        <v>183</v>
      </c>
      <c r="C29" s="9" t="n">
        <v>880000</v>
      </c>
      <c r="D29" s="8" t="s">
        <v>184</v>
      </c>
    </row>
    <row r="30" customFormat="false" ht="15" hidden="false" customHeight="false" outlineLevel="0" collapsed="false">
      <c r="A30" s="5" t="s">
        <v>181</v>
      </c>
      <c r="B30" s="5" t="s">
        <v>185</v>
      </c>
      <c r="C30" s="6" t="n">
        <v>1452000</v>
      </c>
      <c r="D30" s="5" t="s">
        <v>186</v>
      </c>
    </row>
    <row r="31" customFormat="false" ht="15" hidden="false" customHeight="false" outlineLevel="0" collapsed="false">
      <c r="A31" s="8" t="s">
        <v>181</v>
      </c>
      <c r="B31" s="8" t="s">
        <v>187</v>
      </c>
      <c r="C31" s="9" t="n">
        <v>2860000</v>
      </c>
      <c r="D31" s="8"/>
    </row>
    <row r="32" customFormat="false" ht="15" hidden="false" customHeight="false" outlineLevel="0" collapsed="false">
      <c r="A32" s="5" t="s">
        <v>188</v>
      </c>
      <c r="B32" s="5" t="s">
        <v>189</v>
      </c>
      <c r="C32" s="6" t="n">
        <v>80000</v>
      </c>
      <c r="D32" s="5"/>
    </row>
    <row r="33" customFormat="false" ht="15" hidden="false" customHeight="false" outlineLevel="0" collapsed="false">
      <c r="A33" s="8" t="s">
        <v>188</v>
      </c>
      <c r="B33" s="8" t="s">
        <v>190</v>
      </c>
      <c r="C33" s="9" t="n">
        <v>140000</v>
      </c>
      <c r="D33" s="8"/>
    </row>
    <row r="34" customFormat="false" ht="15" hidden="false" customHeight="false" outlineLevel="0" collapsed="false">
      <c r="A34" s="5" t="s">
        <v>188</v>
      </c>
      <c r="B34" s="5" t="s">
        <v>191</v>
      </c>
      <c r="C34" s="6" t="n">
        <v>280000</v>
      </c>
      <c r="D34" s="5"/>
    </row>
    <row r="35" customFormat="false" ht="15" hidden="false" customHeight="false" outlineLevel="0" collapsed="false">
      <c r="A35" s="8" t="s">
        <v>188</v>
      </c>
      <c r="B35" s="8" t="s">
        <v>192</v>
      </c>
      <c r="C35" s="9" t="n">
        <v>350000</v>
      </c>
      <c r="D35" s="8" t="s">
        <v>186</v>
      </c>
    </row>
    <row r="36" customFormat="false" ht="15" hidden="false" customHeight="false" outlineLevel="0" collapsed="false">
      <c r="A36" s="5" t="s">
        <v>188</v>
      </c>
      <c r="B36" s="5" t="s">
        <v>193</v>
      </c>
      <c r="C36" s="6" t="n">
        <v>560000</v>
      </c>
      <c r="D36" s="5"/>
    </row>
    <row r="37" customFormat="false" ht="15" hidden="false" customHeight="false" outlineLevel="0" collapsed="false">
      <c r="A37" s="8" t="s">
        <v>188</v>
      </c>
      <c r="B37" s="8" t="s">
        <v>194</v>
      </c>
      <c r="C37" s="9" t="n">
        <v>980000</v>
      </c>
      <c r="D37" s="8"/>
    </row>
  </sheetData>
  <mergeCells count="5">
    <mergeCell ref="A1:J1"/>
    <mergeCell ref="A2:J2"/>
    <mergeCell ref="A3:J3"/>
    <mergeCell ref="A12:J12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2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16"/>
  </cols>
  <sheetData>
    <row r="1" customFormat="false" ht="25.5" hidden="false" customHeight="true" outlineLevel="0" collapsed="false">
      <c r="A1" s="13" t="s">
        <v>195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5.75" hidden="false" customHeight="true" outlineLevel="0" collapsed="false">
      <c r="A3" s="3" t="s">
        <v>2</v>
      </c>
      <c r="B3" s="3" t="s">
        <v>197</v>
      </c>
      <c r="C3" s="3" t="s">
        <v>5</v>
      </c>
      <c r="D3" s="3" t="s">
        <v>9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</row>
    <row r="4" customFormat="false" ht="15" hidden="false" customHeight="false" outlineLevel="0" collapsed="false">
      <c r="A4" s="4" t="n">
        <v>1</v>
      </c>
      <c r="B4" s="5" t="s">
        <v>168</v>
      </c>
      <c r="C4" s="4" t="s">
        <v>14</v>
      </c>
      <c r="D4" s="20" t="n">
        <v>352000000</v>
      </c>
      <c r="E4" s="6" t="n">
        <f aca="false">D4*0.1</f>
        <v>35200000</v>
      </c>
      <c r="F4" s="6" t="n">
        <v>340000</v>
      </c>
      <c r="G4" s="6" t="n">
        <v>1188000</v>
      </c>
      <c r="H4" s="6" t="n">
        <f aca="false">D4*0.0264</f>
        <v>9292800</v>
      </c>
      <c r="I4" s="6" t="n">
        <v>880000</v>
      </c>
      <c r="J4" s="6" t="n">
        <v>350000</v>
      </c>
      <c r="K4" s="6" t="n">
        <f aca="false">G4+H4+I4+J4</f>
        <v>11710800</v>
      </c>
      <c r="L4" s="6" t="n">
        <f aca="false">D4+E4+F4+K4</f>
        <v>399250800</v>
      </c>
      <c r="M4" s="14" t="n">
        <f aca="false">(E4+F4+K4)/D4</f>
        <v>0.134235227272727</v>
      </c>
    </row>
    <row r="5" customFormat="false" ht="15" hidden="false" customHeight="false" outlineLevel="0" collapsed="false">
      <c r="A5" s="7" t="n">
        <v>2</v>
      </c>
      <c r="B5" s="8" t="s">
        <v>207</v>
      </c>
      <c r="C5" s="7" t="s">
        <v>20</v>
      </c>
      <c r="D5" s="21" t="n">
        <v>518000000</v>
      </c>
      <c r="E5" s="9" t="n">
        <f aca="false">D5*0.1</f>
        <v>51800000</v>
      </c>
      <c r="F5" s="9" t="n">
        <v>340000</v>
      </c>
      <c r="G5" s="9" t="n">
        <v>1188000</v>
      </c>
      <c r="H5" s="9" t="n">
        <f aca="false">D5*0.0264</f>
        <v>13675200</v>
      </c>
      <c r="I5" s="9" t="n">
        <v>880000</v>
      </c>
      <c r="J5" s="9" t="n">
        <v>350000</v>
      </c>
      <c r="K5" s="9" t="n">
        <f aca="false">G5+H5+I5+J5</f>
        <v>16093200</v>
      </c>
      <c r="L5" s="9" t="n">
        <f aca="false">D5+E5+F5+K5</f>
        <v>586233200</v>
      </c>
      <c r="M5" s="15" t="n">
        <f aca="false">(E5+F5+K5)/D5</f>
        <v>0.131724324324324</v>
      </c>
    </row>
    <row r="6" customFormat="false" ht="15" hidden="false" customHeight="false" outlineLevel="0" collapsed="false">
      <c r="A6" s="4" t="n">
        <v>3</v>
      </c>
      <c r="B6" s="5" t="s">
        <v>169</v>
      </c>
      <c r="C6" s="4" t="s">
        <v>20</v>
      </c>
      <c r="D6" s="20" t="n">
        <v>569000000</v>
      </c>
      <c r="E6" s="6" t="n">
        <f aca="false">D6*0.1</f>
        <v>56900000</v>
      </c>
      <c r="F6" s="6" t="n">
        <v>340000</v>
      </c>
      <c r="G6" s="6" t="n">
        <v>1188000</v>
      </c>
      <c r="H6" s="6" t="n">
        <f aca="false">D6*0.0264</f>
        <v>15021600</v>
      </c>
      <c r="I6" s="6" t="n">
        <v>880000</v>
      </c>
      <c r="J6" s="6" t="n">
        <v>350000</v>
      </c>
      <c r="K6" s="6" t="n">
        <f aca="false">G6+H6+I6+J6</f>
        <v>17439600</v>
      </c>
      <c r="L6" s="6" t="n">
        <f aca="false">D6+E6+F6+K6</f>
        <v>643679600</v>
      </c>
      <c r="M6" s="14" t="n">
        <f aca="false">(E6+F6+K6)/D6</f>
        <v>0.131247100175747</v>
      </c>
    </row>
    <row r="7" customFormat="false" ht="15" hidden="false" customHeight="false" outlineLevel="0" collapsed="false">
      <c r="A7" s="7" t="n">
        <v>4</v>
      </c>
      <c r="B7" s="8" t="s">
        <v>208</v>
      </c>
      <c r="C7" s="7" t="s">
        <v>29</v>
      </c>
      <c r="D7" s="21" t="n">
        <v>648000000</v>
      </c>
      <c r="E7" s="9" t="n">
        <f aca="false">D7*0.1</f>
        <v>64800000</v>
      </c>
      <c r="F7" s="9" t="n">
        <v>340000</v>
      </c>
      <c r="G7" s="9" t="n">
        <v>1188000</v>
      </c>
      <c r="H7" s="9" t="n">
        <f aca="false">D7*0.0264</f>
        <v>17107200</v>
      </c>
      <c r="I7" s="9" t="n">
        <v>880000</v>
      </c>
      <c r="J7" s="9" t="n">
        <v>350000</v>
      </c>
      <c r="K7" s="9" t="n">
        <f aca="false">G7+H7+I7+J7</f>
        <v>19525200</v>
      </c>
      <c r="L7" s="9" t="n">
        <f aca="false">D7+E7+F7+K7</f>
        <v>732665200</v>
      </c>
      <c r="M7" s="15" t="n">
        <f aca="false">(E7+F7+K7)/D7</f>
        <v>0.130656172839506</v>
      </c>
    </row>
    <row r="8" customFormat="false" ht="15" hidden="false" customHeight="false" outlineLevel="0" collapsed="false">
      <c r="A8" s="4" t="n">
        <v>5</v>
      </c>
      <c r="B8" s="5" t="s">
        <v>209</v>
      </c>
      <c r="C8" s="4" t="s">
        <v>29</v>
      </c>
      <c r="D8" s="20" t="n">
        <v>746000000</v>
      </c>
      <c r="E8" s="6" t="n">
        <f aca="false">D8*0.1</f>
        <v>74600000</v>
      </c>
      <c r="F8" s="6" t="n">
        <v>340000</v>
      </c>
      <c r="G8" s="6" t="n">
        <v>1188000</v>
      </c>
      <c r="H8" s="6" t="n">
        <f aca="false">D8*0.0264</f>
        <v>19694400</v>
      </c>
      <c r="I8" s="6" t="n">
        <v>880000</v>
      </c>
      <c r="J8" s="6" t="n">
        <v>350000</v>
      </c>
      <c r="K8" s="6" t="n">
        <f aca="false">G8+H8+I8+J8</f>
        <v>22112400</v>
      </c>
      <c r="L8" s="6" t="n">
        <f aca="false">D8+E8+F8+K8</f>
        <v>843052400</v>
      </c>
      <c r="M8" s="14" t="n">
        <f aca="false">(E8+F8+K8)/D8</f>
        <v>0.130097050938338</v>
      </c>
    </row>
    <row r="9" customFormat="false" ht="15" hidden="false" customHeight="false" outlineLevel="0" collapsed="false">
      <c r="A9" s="7" t="n">
        <v>6</v>
      </c>
      <c r="B9" s="8" t="s">
        <v>210</v>
      </c>
      <c r="C9" s="7" t="s">
        <v>37</v>
      </c>
      <c r="D9" s="21" t="n">
        <v>548000000</v>
      </c>
      <c r="E9" s="9" t="n">
        <f aca="false">D9*0.1</f>
        <v>54800000</v>
      </c>
      <c r="F9" s="9" t="n">
        <v>340000</v>
      </c>
      <c r="G9" s="9" t="n">
        <v>1188000</v>
      </c>
      <c r="H9" s="9" t="n">
        <f aca="false">D9*0.0264</f>
        <v>14467200</v>
      </c>
      <c r="I9" s="9" t="n">
        <v>880000</v>
      </c>
      <c r="J9" s="9" t="n">
        <v>350000</v>
      </c>
      <c r="K9" s="9" t="n">
        <f aca="false">G9+H9+I9+J9</f>
        <v>16885200</v>
      </c>
      <c r="L9" s="9" t="n">
        <f aca="false">D9+E9+F9+K9</f>
        <v>620025200</v>
      </c>
      <c r="M9" s="15" t="n">
        <f aca="false">(E9+F9+K9)/D9</f>
        <v>0.131432846715328</v>
      </c>
    </row>
    <row r="10" customFormat="false" ht="15" hidden="false" customHeight="false" outlineLevel="0" collapsed="false">
      <c r="A10" s="4" t="n">
        <v>7</v>
      </c>
      <c r="B10" s="5" t="s">
        <v>172</v>
      </c>
      <c r="C10" s="4" t="s">
        <v>78</v>
      </c>
      <c r="D10" s="20" t="n">
        <v>598000000</v>
      </c>
      <c r="E10" s="6" t="n">
        <f aca="false">D10*0.1</f>
        <v>59800000</v>
      </c>
      <c r="F10" s="6" t="n">
        <v>340000</v>
      </c>
      <c r="G10" s="6" t="n">
        <v>1188000</v>
      </c>
      <c r="H10" s="6" t="n">
        <f aca="false">D10*0.0264</f>
        <v>15787200</v>
      </c>
      <c r="I10" s="6" t="n">
        <v>880000</v>
      </c>
      <c r="J10" s="6" t="n">
        <v>350000</v>
      </c>
      <c r="K10" s="6" t="n">
        <f aca="false">G10+H10+I10+J10</f>
        <v>18205200</v>
      </c>
      <c r="L10" s="6" t="n">
        <f aca="false">D10+E10+F10+K10</f>
        <v>676345200</v>
      </c>
      <c r="M10" s="14" t="n">
        <f aca="false">(E10+F10+K10)/D10</f>
        <v>0.131012040133779</v>
      </c>
    </row>
    <row r="11" customFormat="false" ht="15" hidden="false" customHeight="false" outlineLevel="0" collapsed="false">
      <c r="A11" s="7" t="n">
        <v>8</v>
      </c>
      <c r="B11" s="8" t="s">
        <v>171</v>
      </c>
      <c r="C11" s="7" t="s">
        <v>42</v>
      </c>
      <c r="D11" s="21" t="n">
        <v>750000000</v>
      </c>
      <c r="E11" s="9" t="n">
        <f aca="false">D11*0.1</f>
        <v>75000000</v>
      </c>
      <c r="F11" s="9" t="n">
        <v>340000</v>
      </c>
      <c r="G11" s="9" t="n">
        <v>1188000</v>
      </c>
      <c r="H11" s="9" t="n">
        <f aca="false">D11*0.0264</f>
        <v>19800000</v>
      </c>
      <c r="I11" s="9" t="n">
        <v>880000</v>
      </c>
      <c r="J11" s="9" t="n">
        <v>350000</v>
      </c>
      <c r="K11" s="9" t="n">
        <f aca="false">G11+H11+I11+J11</f>
        <v>22218000</v>
      </c>
      <c r="L11" s="9" t="n">
        <f aca="false">D11+E11+F11+K11</f>
        <v>847558000</v>
      </c>
      <c r="M11" s="15" t="n">
        <f aca="false">(E11+F11+K11)/D11</f>
        <v>0.130077333333333</v>
      </c>
    </row>
    <row r="12" customFormat="false" ht="15" hidden="false" customHeight="false" outlineLevel="0" collapsed="false">
      <c r="A12" s="4" t="n">
        <v>9</v>
      </c>
      <c r="B12" s="5" t="s">
        <v>211</v>
      </c>
      <c r="C12" s="4" t="s">
        <v>42</v>
      </c>
      <c r="D12" s="20" t="n">
        <v>870000000</v>
      </c>
      <c r="E12" s="6" t="n">
        <f aca="false">D12*0.1</f>
        <v>87000000</v>
      </c>
      <c r="F12" s="6" t="n">
        <v>340000</v>
      </c>
      <c r="G12" s="6" t="n">
        <v>1188000</v>
      </c>
      <c r="H12" s="6" t="n">
        <f aca="false">D12*0.0264</f>
        <v>22968000</v>
      </c>
      <c r="I12" s="6" t="n">
        <v>880000</v>
      </c>
      <c r="J12" s="6" t="n">
        <v>350000</v>
      </c>
      <c r="K12" s="6" t="n">
        <f aca="false">G12+H12+I12+J12</f>
        <v>25386000</v>
      </c>
      <c r="L12" s="6" t="n">
        <f aca="false">D12+E12+F12+K12</f>
        <v>982726000</v>
      </c>
      <c r="M12" s="14" t="n">
        <f aca="false">(E12+F12+K12)/D12</f>
        <v>0.129570114942529</v>
      </c>
    </row>
    <row r="13" customFormat="false" ht="15" hidden="false" customHeight="false" outlineLevel="0" collapsed="false">
      <c r="A13" s="7" t="n">
        <v>10</v>
      </c>
      <c r="B13" s="8" t="s">
        <v>212</v>
      </c>
      <c r="C13" s="7" t="s">
        <v>49</v>
      </c>
      <c r="D13" s="21" t="n">
        <v>905000000</v>
      </c>
      <c r="E13" s="9" t="n">
        <f aca="false">D13*0.1</f>
        <v>90500000</v>
      </c>
      <c r="F13" s="9" t="n">
        <v>340000</v>
      </c>
      <c r="G13" s="9" t="n">
        <v>1188000</v>
      </c>
      <c r="H13" s="9" t="n">
        <f aca="false">D13*0.0264</f>
        <v>23892000</v>
      </c>
      <c r="I13" s="9" t="n">
        <v>880000</v>
      </c>
      <c r="J13" s="9" t="n">
        <v>350000</v>
      </c>
      <c r="K13" s="9" t="n">
        <f aca="false">G13+H13+I13+J13</f>
        <v>26310000</v>
      </c>
      <c r="L13" s="9" t="n">
        <f aca="false">D13+E13+F13+K13</f>
        <v>1022150000</v>
      </c>
      <c r="M13" s="15" t="n">
        <f aca="false">(E13+F13+K13)/D13</f>
        <v>0.129447513812155</v>
      </c>
    </row>
    <row r="14" customFormat="false" ht="15" hidden="false" customHeight="false" outlineLevel="0" collapsed="false">
      <c r="A14" s="4" t="n">
        <v>11</v>
      </c>
      <c r="B14" s="5" t="s">
        <v>173</v>
      </c>
      <c r="C14" s="4" t="s">
        <v>49</v>
      </c>
      <c r="D14" s="20" t="n">
        <v>980000000</v>
      </c>
      <c r="E14" s="6" t="n">
        <f aca="false">D14*0.1</f>
        <v>98000000</v>
      </c>
      <c r="F14" s="6" t="n">
        <v>340000</v>
      </c>
      <c r="G14" s="6" t="n">
        <v>1188000</v>
      </c>
      <c r="H14" s="6" t="n">
        <f aca="false">D14*0.0264</f>
        <v>25872000</v>
      </c>
      <c r="I14" s="6" t="n">
        <v>880000</v>
      </c>
      <c r="J14" s="6" t="n">
        <v>350000</v>
      </c>
      <c r="K14" s="6" t="n">
        <f aca="false">G14+H14+I14+J14</f>
        <v>28290000</v>
      </c>
      <c r="L14" s="6" t="n">
        <f aca="false">D14+E14+F14+K14</f>
        <v>1106630000</v>
      </c>
      <c r="M14" s="14" t="n">
        <f aca="false">(E14+F14+K14)/D14</f>
        <v>0.129214285714286</v>
      </c>
    </row>
    <row r="15" customFormat="false" ht="15" hidden="false" customHeight="false" outlineLevel="0" collapsed="false">
      <c r="A15" s="7" t="n">
        <v>12</v>
      </c>
      <c r="B15" s="8" t="s">
        <v>213</v>
      </c>
      <c r="C15" s="7" t="s">
        <v>56</v>
      </c>
      <c r="D15" s="21" t="n">
        <v>810000000</v>
      </c>
      <c r="E15" s="9" t="n">
        <f aca="false">D15*0.1</f>
        <v>81000000</v>
      </c>
      <c r="F15" s="9" t="n">
        <v>340000</v>
      </c>
      <c r="G15" s="9" t="n">
        <v>1188000</v>
      </c>
      <c r="H15" s="9" t="n">
        <f aca="false">D15*0.0264</f>
        <v>21384000</v>
      </c>
      <c r="I15" s="9" t="n">
        <v>880000</v>
      </c>
      <c r="J15" s="9" t="n">
        <v>350000</v>
      </c>
      <c r="K15" s="9" t="n">
        <f aca="false">G15+H15+I15+J15</f>
        <v>23802000</v>
      </c>
      <c r="L15" s="9" t="n">
        <f aca="false">D15+E15+F15+K15</f>
        <v>915142000</v>
      </c>
      <c r="M15" s="15" t="n">
        <f aca="false">(E15+F15+K15)/D15</f>
        <v>0.129804938271605</v>
      </c>
    </row>
    <row r="16" customFormat="false" ht="15" hidden="false" customHeight="false" outlineLevel="0" collapsed="false">
      <c r="A16" s="4" t="n">
        <v>13</v>
      </c>
      <c r="B16" s="5" t="s">
        <v>174</v>
      </c>
      <c r="C16" s="4" t="s">
        <v>56</v>
      </c>
      <c r="D16" s="20" t="n">
        <v>990000000</v>
      </c>
      <c r="E16" s="6" t="n">
        <f aca="false">D16*0.1</f>
        <v>99000000</v>
      </c>
      <c r="F16" s="6" t="n">
        <v>340000</v>
      </c>
      <c r="G16" s="6" t="n">
        <v>1188000</v>
      </c>
      <c r="H16" s="6" t="n">
        <f aca="false">D16*0.0264</f>
        <v>26136000</v>
      </c>
      <c r="I16" s="6" t="n">
        <v>880000</v>
      </c>
      <c r="J16" s="6" t="n">
        <v>350000</v>
      </c>
      <c r="K16" s="6" t="n">
        <f aca="false">G16+H16+I16+J16</f>
        <v>28554000</v>
      </c>
      <c r="L16" s="6" t="n">
        <f aca="false">D16+E16+F16+K16</f>
        <v>1117894000</v>
      </c>
      <c r="M16" s="14" t="n">
        <f aca="false">(E16+F16+K16)/D16</f>
        <v>0.129185858585859</v>
      </c>
    </row>
    <row r="17" customFormat="false" ht="15" hidden="false" customHeight="false" outlineLevel="0" collapsed="false">
      <c r="A17" s="7" t="n">
        <v>14</v>
      </c>
      <c r="B17" s="8" t="s">
        <v>214</v>
      </c>
      <c r="C17" s="7" t="s">
        <v>62</v>
      </c>
      <c r="D17" s="21" t="n">
        <v>824000000</v>
      </c>
      <c r="E17" s="9" t="n">
        <f aca="false">D17*0.1</f>
        <v>82400000</v>
      </c>
      <c r="F17" s="9" t="n">
        <v>340000</v>
      </c>
      <c r="G17" s="9" t="n">
        <v>1188000</v>
      </c>
      <c r="H17" s="9" t="n">
        <f aca="false">D17*0.0264</f>
        <v>21753600</v>
      </c>
      <c r="I17" s="9" t="n">
        <v>880000</v>
      </c>
      <c r="J17" s="9" t="n">
        <v>350000</v>
      </c>
      <c r="K17" s="9" t="n">
        <f aca="false">G17+H17+I17+J17</f>
        <v>24171600</v>
      </c>
      <c r="L17" s="9" t="n">
        <f aca="false">D17+E17+F17+K17</f>
        <v>930911600</v>
      </c>
      <c r="M17" s="15" t="n">
        <f aca="false">(E17+F17+K17)/D17</f>
        <v>0.129747087378641</v>
      </c>
    </row>
    <row r="18" customFormat="false" ht="15" hidden="false" customHeight="false" outlineLevel="0" collapsed="false">
      <c r="A18" s="4" t="n">
        <v>15</v>
      </c>
      <c r="B18" s="5" t="s">
        <v>215</v>
      </c>
      <c r="C18" s="4" t="s">
        <v>62</v>
      </c>
      <c r="D18" s="20" t="n">
        <v>930000000</v>
      </c>
      <c r="E18" s="6" t="n">
        <f aca="false">D18*0.1</f>
        <v>93000000</v>
      </c>
      <c r="F18" s="6" t="n">
        <v>340000</v>
      </c>
      <c r="G18" s="6" t="n">
        <v>1188000</v>
      </c>
      <c r="H18" s="6" t="n">
        <f aca="false">D18*0.0264</f>
        <v>24552000</v>
      </c>
      <c r="I18" s="6" t="n">
        <v>880000</v>
      </c>
      <c r="J18" s="6" t="n">
        <v>350000</v>
      </c>
      <c r="K18" s="6" t="n">
        <f aca="false">G18+H18+I18+J18</f>
        <v>26970000</v>
      </c>
      <c r="L18" s="6" t="n">
        <f aca="false">D18+E18+F18+K18</f>
        <v>1050310000</v>
      </c>
      <c r="M18" s="14" t="n">
        <f aca="false">(E18+F18+K18)/D18</f>
        <v>0.129365591397849</v>
      </c>
    </row>
    <row r="19" customFormat="false" ht="15" hidden="false" customHeight="false" outlineLevel="0" collapsed="false">
      <c r="A19" s="7" t="n">
        <v>16</v>
      </c>
      <c r="B19" s="8" t="s">
        <v>216</v>
      </c>
      <c r="C19" s="7" t="s">
        <v>70</v>
      </c>
      <c r="D19" s="21" t="n">
        <v>1235000000</v>
      </c>
      <c r="E19" s="9" t="n">
        <f aca="false">D19*0.1</f>
        <v>123500000</v>
      </c>
      <c r="F19" s="9" t="n">
        <v>340000</v>
      </c>
      <c r="G19" s="9" t="n">
        <v>1188000</v>
      </c>
      <c r="H19" s="9" t="n">
        <f aca="false">D19*0.0264</f>
        <v>32604000</v>
      </c>
      <c r="I19" s="9" t="n">
        <v>880000</v>
      </c>
      <c r="J19" s="9" t="n">
        <v>350000</v>
      </c>
      <c r="K19" s="9" t="n">
        <f aca="false">G19+H19+I19+J19</f>
        <v>35022000</v>
      </c>
      <c r="L19" s="9" t="n">
        <f aca="false">D19+E19+F19+K19</f>
        <v>1393862000</v>
      </c>
      <c r="M19" s="15" t="n">
        <f aca="false">(E19+F19+K19)/D19</f>
        <v>0.128633198380567</v>
      </c>
    </row>
    <row r="20" customFormat="false" ht="15" hidden="false" customHeight="false" outlineLevel="0" collapsed="false">
      <c r="A20" s="4" t="n">
        <v>17</v>
      </c>
      <c r="B20" s="5" t="s">
        <v>175</v>
      </c>
      <c r="C20" s="4" t="s">
        <v>70</v>
      </c>
      <c r="D20" s="20" t="n">
        <v>1535000000</v>
      </c>
      <c r="E20" s="6" t="n">
        <f aca="false">D20*0.1</f>
        <v>153500000</v>
      </c>
      <c r="F20" s="6" t="n">
        <v>340000</v>
      </c>
      <c r="G20" s="6" t="n">
        <v>1188000</v>
      </c>
      <c r="H20" s="6" t="n">
        <f aca="false">D20*0.0264</f>
        <v>40524000</v>
      </c>
      <c r="I20" s="6" t="n">
        <v>880000</v>
      </c>
      <c r="J20" s="6" t="n">
        <v>350000</v>
      </c>
      <c r="K20" s="6" t="n">
        <f aca="false">G20+H20+I20+J20</f>
        <v>42942000</v>
      </c>
      <c r="L20" s="6" t="n">
        <f aca="false">D20+E20+F20+K20</f>
        <v>1731782000</v>
      </c>
      <c r="M20" s="14" t="n">
        <f aca="false">(E20+F20+K20)/D20</f>
        <v>0.12819674267101</v>
      </c>
    </row>
    <row r="21" customFormat="false" ht="15" hidden="false" customHeight="false" outlineLevel="0" collapsed="false">
      <c r="A21" s="7" t="n">
        <v>18</v>
      </c>
      <c r="B21" s="8" t="s">
        <v>217</v>
      </c>
      <c r="C21" s="7" t="s">
        <v>84</v>
      </c>
      <c r="D21" s="21" t="n">
        <v>1121000000</v>
      </c>
      <c r="E21" s="9" t="n">
        <f aca="false">D21*0.1</f>
        <v>112100000</v>
      </c>
      <c r="F21" s="9" t="n">
        <v>340000</v>
      </c>
      <c r="G21" s="9" t="n">
        <v>1188000</v>
      </c>
      <c r="H21" s="9" t="n">
        <f aca="false">D21*0.0264</f>
        <v>29594400</v>
      </c>
      <c r="I21" s="9" t="n">
        <v>880000</v>
      </c>
      <c r="J21" s="9" t="n">
        <v>350000</v>
      </c>
      <c r="K21" s="9" t="n">
        <f aca="false">G21+H21+I21+J21</f>
        <v>32012400</v>
      </c>
      <c r="L21" s="9" t="n">
        <f aca="false">D21+E21+F21+K21</f>
        <v>1265452400</v>
      </c>
      <c r="M21" s="15" t="n">
        <f aca="false">(E21+F21+K21)/D21</f>
        <v>0.128860303300624</v>
      </c>
    </row>
    <row r="22" customFormat="false" ht="15" hidden="false" customHeight="false" outlineLevel="0" collapsed="false">
      <c r="A22" s="4" t="n">
        <v>19</v>
      </c>
      <c r="B22" s="5" t="s">
        <v>218</v>
      </c>
      <c r="C22" s="4" t="s">
        <v>84</v>
      </c>
      <c r="D22" s="20" t="n">
        <v>1426000000</v>
      </c>
      <c r="E22" s="6" t="n">
        <f aca="false">D22*0.1</f>
        <v>142600000</v>
      </c>
      <c r="F22" s="6" t="n">
        <v>340000</v>
      </c>
      <c r="G22" s="6" t="n">
        <v>1188000</v>
      </c>
      <c r="H22" s="6" t="n">
        <f aca="false">D22*0.0264</f>
        <v>37646400</v>
      </c>
      <c r="I22" s="6" t="n">
        <v>880000</v>
      </c>
      <c r="J22" s="6" t="n">
        <v>350000</v>
      </c>
      <c r="K22" s="6" t="n">
        <f aca="false">G22+H22+I22+J22</f>
        <v>40064400</v>
      </c>
      <c r="L22" s="6" t="n">
        <f aca="false">D22+E22+F22+K22</f>
        <v>1609004400</v>
      </c>
      <c r="M22" s="14" t="n">
        <f aca="false">(E22+F22+K22)/D22</f>
        <v>0.128334081346424</v>
      </c>
    </row>
    <row r="23" customFormat="false" ht="15" hidden="false" customHeight="false" outlineLevel="0" collapsed="false">
      <c r="A23" s="7" t="n">
        <v>20</v>
      </c>
      <c r="B23" s="8" t="s">
        <v>219</v>
      </c>
      <c r="C23" s="7" t="s">
        <v>95</v>
      </c>
      <c r="D23" s="21" t="n">
        <v>980000000</v>
      </c>
      <c r="E23" s="9" t="n">
        <f aca="false">D23*0.1</f>
        <v>98000000</v>
      </c>
      <c r="F23" s="9" t="n">
        <v>340000</v>
      </c>
      <c r="G23" s="9" t="n">
        <v>1188000</v>
      </c>
      <c r="H23" s="9" t="n">
        <f aca="false">D23*0.0264</f>
        <v>25872000</v>
      </c>
      <c r="I23" s="9" t="n">
        <v>880000</v>
      </c>
      <c r="J23" s="9" t="n">
        <v>350000</v>
      </c>
      <c r="K23" s="9" t="n">
        <f aca="false">G23+H23+I23+J23</f>
        <v>28290000</v>
      </c>
      <c r="L23" s="9" t="n">
        <f aca="false">D23+E23+F23+K23</f>
        <v>1106630000</v>
      </c>
      <c r="M23" s="15" t="n">
        <f aca="false">(E23+F23+K23)/D23</f>
        <v>0.129214285714286</v>
      </c>
    </row>
    <row r="24" customFormat="false" ht="15" hidden="false" customHeight="false" outlineLevel="0" collapsed="false">
      <c r="A24" s="4" t="n">
        <v>21</v>
      </c>
      <c r="B24" s="5" t="s">
        <v>220</v>
      </c>
      <c r="C24" s="4" t="s">
        <v>101</v>
      </c>
      <c r="D24" s="20" t="n">
        <v>2750000000</v>
      </c>
      <c r="E24" s="6" t="n">
        <f aca="false">D24*0.1</f>
        <v>275000000</v>
      </c>
      <c r="F24" s="6" t="n">
        <v>340000</v>
      </c>
      <c r="G24" s="6" t="n">
        <v>1188000</v>
      </c>
      <c r="H24" s="6" t="n">
        <f aca="false">D24*0.0264</f>
        <v>72600000</v>
      </c>
      <c r="I24" s="6" t="n">
        <v>880000</v>
      </c>
      <c r="J24" s="6" t="n">
        <v>350000</v>
      </c>
      <c r="K24" s="6" t="n">
        <f aca="false">G24+H24+I24+J24</f>
        <v>75018000</v>
      </c>
      <c r="L24" s="6" t="n">
        <f aca="false">D24+E24+F24+K24</f>
        <v>3100358000</v>
      </c>
      <c r="M24" s="14" t="n">
        <f aca="false">(E24+F24+K24)/D24</f>
        <v>0.127402909090909</v>
      </c>
    </row>
    <row r="25" customFormat="false" ht="15" hidden="false" customHeight="false" outlineLevel="0" collapsed="false">
      <c r="A25" s="7" t="n">
        <v>22</v>
      </c>
      <c r="B25" s="8" t="s">
        <v>221</v>
      </c>
      <c r="C25" s="7" t="s">
        <v>101</v>
      </c>
      <c r="D25" s="21" t="n">
        <v>4350000000</v>
      </c>
      <c r="E25" s="9" t="n">
        <f aca="false">D25*0.1</f>
        <v>435000000</v>
      </c>
      <c r="F25" s="9" t="n">
        <v>340000</v>
      </c>
      <c r="G25" s="9" t="n">
        <v>1188000</v>
      </c>
      <c r="H25" s="9" t="n">
        <f aca="false">D25*0.0264</f>
        <v>114840000</v>
      </c>
      <c r="I25" s="9" t="n">
        <v>880000</v>
      </c>
      <c r="J25" s="9" t="n">
        <v>350000</v>
      </c>
      <c r="K25" s="9" t="n">
        <f aca="false">G25+H25+I25+J25</f>
        <v>117258000</v>
      </c>
      <c r="L25" s="9" t="n">
        <f aca="false">D25+E25+F25+K25</f>
        <v>4902598000</v>
      </c>
      <c r="M25" s="15" t="n">
        <f aca="false">(E25+F25+K25)/D25</f>
        <v>0.127034022988506</v>
      </c>
    </row>
    <row r="26" customFormat="false" ht="15" hidden="false" customHeight="false" outlineLevel="0" collapsed="false">
      <c r="A26" s="4" t="n">
        <v>23</v>
      </c>
      <c r="B26" s="5" t="s">
        <v>222</v>
      </c>
      <c r="C26" s="4" t="s">
        <v>113</v>
      </c>
      <c r="D26" s="20" t="n">
        <v>4235000000</v>
      </c>
      <c r="E26" s="6" t="n">
        <f aca="false">D26*0.1</f>
        <v>423500000</v>
      </c>
      <c r="F26" s="6" t="n">
        <v>340000</v>
      </c>
      <c r="G26" s="6" t="n">
        <v>1188000</v>
      </c>
      <c r="H26" s="6" t="n">
        <f aca="false">D26*0.0264</f>
        <v>111804000</v>
      </c>
      <c r="I26" s="6" t="n">
        <v>880000</v>
      </c>
      <c r="J26" s="6" t="n">
        <v>350000</v>
      </c>
      <c r="K26" s="6" t="n">
        <f aca="false">G26+H26+I26+J26</f>
        <v>114222000</v>
      </c>
      <c r="L26" s="6" t="n">
        <f aca="false">D26+E26+F26+K26</f>
        <v>4773062000</v>
      </c>
      <c r="M26" s="14" t="n">
        <f aca="false">(E26+F26+K26)/D26</f>
        <v>0.127051239669422</v>
      </c>
    </row>
    <row r="27" customFormat="false" ht="15" hidden="false" customHeight="false" outlineLevel="0" collapsed="false">
      <c r="A27" s="22" t="n">
        <v>24</v>
      </c>
      <c r="B27" s="23" t="s">
        <v>223</v>
      </c>
      <c r="C27" s="22" t="s">
        <v>113</v>
      </c>
      <c r="D27" s="24" t="n">
        <v>4435000000</v>
      </c>
      <c r="E27" s="25" t="n">
        <f aca="false">D27*0.1</f>
        <v>443500000</v>
      </c>
      <c r="F27" s="25" t="n">
        <v>340000</v>
      </c>
      <c r="G27" s="25" t="n">
        <v>1188000</v>
      </c>
      <c r="H27" s="25" t="n">
        <f aca="false">D27*0.0264</f>
        <v>117084000</v>
      </c>
      <c r="I27" s="25" t="n">
        <v>880000</v>
      </c>
      <c r="J27" s="25" t="n">
        <v>350000</v>
      </c>
      <c r="K27" s="25" t="n">
        <f aca="false">G27+H27+I27+J27</f>
        <v>119502000</v>
      </c>
      <c r="L27" s="12" t="n">
        <f aca="false">D27+E27+F27+K27</f>
        <v>4998342000</v>
      </c>
      <c r="M27" s="26" t="n">
        <f aca="false">(E27+F27+K27)/D27</f>
        <v>0.127021871476888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20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3" t="s">
        <v>224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false" outlineLevel="0" collapsed="false">
      <c r="A2" s="16" t="s">
        <v>225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31.5" hidden="false" customHeight="true" outlineLevel="0" collapsed="false">
      <c r="A3" s="3" t="s">
        <v>226</v>
      </c>
      <c r="B3" s="3" t="s">
        <v>227</v>
      </c>
      <c r="C3" s="3" t="s">
        <v>228</v>
      </c>
      <c r="D3" s="3" t="s">
        <v>229</v>
      </c>
      <c r="E3" s="3" t="s">
        <v>230</v>
      </c>
      <c r="F3" s="3" t="s">
        <v>231</v>
      </c>
      <c r="G3" s="3" t="s">
        <v>232</v>
      </c>
    </row>
    <row r="4" customFormat="false" ht="15" hidden="false" customHeight="false" outlineLevel="0" collapsed="false">
      <c r="A4" s="5" t="s">
        <v>233</v>
      </c>
      <c r="B4" s="5" t="s">
        <v>234</v>
      </c>
      <c r="C4" s="4" t="s">
        <v>235</v>
      </c>
      <c r="D4" s="4" t="s">
        <v>236</v>
      </c>
      <c r="E4" s="4" t="s">
        <v>237</v>
      </c>
      <c r="F4" s="5" t="s">
        <v>238</v>
      </c>
      <c r="G4" s="5" t="s">
        <v>239</v>
      </c>
    </row>
    <row r="5" customFormat="false" ht="15" hidden="false" customHeight="false" outlineLevel="0" collapsed="false">
      <c r="A5" s="8" t="s">
        <v>240</v>
      </c>
      <c r="B5" s="8" t="s">
        <v>241</v>
      </c>
      <c r="C5" s="7" t="s">
        <v>242</v>
      </c>
      <c r="D5" s="7" t="s">
        <v>243</v>
      </c>
      <c r="E5" s="7" t="s">
        <v>244</v>
      </c>
      <c r="F5" s="8" t="s">
        <v>245</v>
      </c>
      <c r="G5" s="8" t="s">
        <v>246</v>
      </c>
    </row>
    <row r="6" customFormat="false" ht="15" hidden="false" customHeight="false" outlineLevel="0" collapsed="false">
      <c r="A6" s="5" t="s">
        <v>247</v>
      </c>
      <c r="B6" s="5" t="s">
        <v>248</v>
      </c>
      <c r="C6" s="4" t="s">
        <v>249</v>
      </c>
      <c r="D6" s="4" t="s">
        <v>243</v>
      </c>
      <c r="E6" s="4" t="s">
        <v>250</v>
      </c>
      <c r="F6" s="5" t="s">
        <v>251</v>
      </c>
      <c r="G6" s="5" t="s">
        <v>252</v>
      </c>
    </row>
    <row r="7" customFormat="false" ht="15" hidden="false" customHeight="false" outlineLevel="0" collapsed="false">
      <c r="A7" s="8" t="s">
        <v>253</v>
      </c>
      <c r="B7" s="8" t="s">
        <v>254</v>
      </c>
      <c r="C7" s="7" t="s">
        <v>255</v>
      </c>
      <c r="D7" s="7" t="s">
        <v>256</v>
      </c>
      <c r="E7" s="7" t="s">
        <v>257</v>
      </c>
      <c r="F7" s="8" t="s">
        <v>258</v>
      </c>
      <c r="G7" s="8" t="s">
        <v>259</v>
      </c>
    </row>
    <row r="8" customFormat="false" ht="15" hidden="false" customHeight="false" outlineLevel="0" collapsed="false">
      <c r="A8" s="5" t="s">
        <v>260</v>
      </c>
      <c r="B8" s="5" t="s">
        <v>261</v>
      </c>
      <c r="C8" s="4" t="s">
        <v>262</v>
      </c>
      <c r="D8" s="4" t="s">
        <v>263</v>
      </c>
      <c r="E8" s="4" t="s">
        <v>264</v>
      </c>
      <c r="F8" s="5" t="s">
        <v>265</v>
      </c>
      <c r="G8" s="5" t="s">
        <v>266</v>
      </c>
    </row>
    <row r="9" customFormat="false" ht="15" hidden="false" customHeight="false" outlineLevel="0" collapsed="false">
      <c r="A9" s="8" t="s">
        <v>259</v>
      </c>
      <c r="B9" s="8" t="s">
        <v>267</v>
      </c>
      <c r="C9" s="7" t="s">
        <v>268</v>
      </c>
      <c r="D9" s="7" t="s">
        <v>269</v>
      </c>
      <c r="E9" s="7" t="s">
        <v>270</v>
      </c>
      <c r="F9" s="8" t="s">
        <v>271</v>
      </c>
      <c r="G9" s="8" t="s">
        <v>272</v>
      </c>
    </row>
    <row r="11" customFormat="false" ht="15" hidden="false" customHeight="false" outlineLevel="0" collapsed="false">
      <c r="A11" s="16" t="s">
        <v>273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customFormat="false" ht="31.5" hidden="false" customHeight="true" outlineLevel="0" collapsed="false">
      <c r="A12" s="3" t="s">
        <v>3</v>
      </c>
      <c r="B12" s="3" t="s">
        <v>164</v>
      </c>
      <c r="C12" s="3" t="s">
        <v>274</v>
      </c>
      <c r="D12" s="3" t="s">
        <v>275</v>
      </c>
      <c r="E12" s="3" t="s">
        <v>276</v>
      </c>
      <c r="F12" s="3" t="s">
        <v>277</v>
      </c>
      <c r="G12" s="3" t="s">
        <v>278</v>
      </c>
      <c r="H12" s="3" t="s">
        <v>279</v>
      </c>
      <c r="I12" s="3" t="s">
        <v>280</v>
      </c>
    </row>
    <row r="13" customFormat="false" ht="15" hidden="false" customHeight="false" outlineLevel="0" collapsed="false">
      <c r="A13" s="5" t="s">
        <v>168</v>
      </c>
      <c r="B13" s="20" t="n">
        <v>352000000</v>
      </c>
      <c r="C13" s="6" t="n">
        <f aca="false">B13*0.3</f>
        <v>105600000</v>
      </c>
      <c r="D13" s="6" t="n">
        <f aca="false">B13-C13</f>
        <v>246400000</v>
      </c>
      <c r="E13" s="27" t="n">
        <v>0.08</v>
      </c>
      <c r="F13" s="28" t="n">
        <v>36</v>
      </c>
      <c r="G13" s="6" t="n">
        <f aca="false">PMT(E13/12,F13,-D13)</f>
        <v>7721280.44969656</v>
      </c>
      <c r="H13" s="6" t="n">
        <f aca="false">G13*F13+C13</f>
        <v>383566096.189076</v>
      </c>
      <c r="I13" s="6" t="n">
        <f aca="false">H13-B13</f>
        <v>31566096.1890762</v>
      </c>
    </row>
    <row r="14" customFormat="false" ht="15" hidden="false" customHeight="false" outlineLevel="0" collapsed="false">
      <c r="A14" s="8" t="s">
        <v>169</v>
      </c>
      <c r="B14" s="21" t="n">
        <v>569000000</v>
      </c>
      <c r="C14" s="9" t="n">
        <f aca="false">B14*0.3</f>
        <v>170700000</v>
      </c>
      <c r="D14" s="9" t="n">
        <f aca="false">B14-C14</f>
        <v>398300000</v>
      </c>
      <c r="E14" s="29" t="n">
        <v>0.08</v>
      </c>
      <c r="F14" s="30" t="n">
        <v>36</v>
      </c>
      <c r="G14" s="9" t="n">
        <f aca="false">PMT(E14/12,F14,-D14)</f>
        <v>12481274.3632879</v>
      </c>
      <c r="H14" s="9" t="n">
        <f aca="false">G14*F14+C14</f>
        <v>620025877.078365</v>
      </c>
      <c r="I14" s="9" t="n">
        <f aca="false">H14-B14</f>
        <v>51025877.0783647</v>
      </c>
    </row>
    <row r="15" customFormat="false" ht="15" hidden="false" customHeight="false" outlineLevel="0" collapsed="false">
      <c r="A15" s="5" t="s">
        <v>170</v>
      </c>
      <c r="B15" s="20" t="n">
        <v>648000000</v>
      </c>
      <c r="C15" s="6" t="n">
        <f aca="false">B15*0.3</f>
        <v>194400000</v>
      </c>
      <c r="D15" s="6" t="n">
        <f aca="false">B15-C15</f>
        <v>453600000</v>
      </c>
      <c r="E15" s="27" t="n">
        <v>0.08</v>
      </c>
      <c r="F15" s="28" t="n">
        <v>36</v>
      </c>
      <c r="G15" s="6" t="n">
        <f aca="false">PMT(E15/12,F15,-D15)</f>
        <v>14214175.373305</v>
      </c>
      <c r="H15" s="6" t="n">
        <f aca="false">G15*F15+C15</f>
        <v>706110313.438981</v>
      </c>
      <c r="I15" s="6" t="n">
        <f aca="false">H15-B15</f>
        <v>58110313.4389813</v>
      </c>
    </row>
    <row r="16" customFormat="false" ht="15" hidden="false" customHeight="false" outlineLevel="0" collapsed="false">
      <c r="A16" s="8" t="s">
        <v>281</v>
      </c>
      <c r="B16" s="21" t="n">
        <v>750000000</v>
      </c>
      <c r="C16" s="9" t="n">
        <f aca="false">B16*0.3</f>
        <v>225000000</v>
      </c>
      <c r="D16" s="9" t="n">
        <f aca="false">B16-C16</f>
        <v>525000000</v>
      </c>
      <c r="E16" s="29" t="n">
        <v>0.08</v>
      </c>
      <c r="F16" s="30" t="n">
        <v>36</v>
      </c>
      <c r="G16" s="9" t="n">
        <f aca="false">PMT(E16/12,F16,-D16)</f>
        <v>16451591.8672512</v>
      </c>
      <c r="H16" s="9" t="n">
        <f aca="false">G16*F16+C16</f>
        <v>817257307.221043</v>
      </c>
      <c r="I16" s="9" t="n">
        <f aca="false">H16-B16</f>
        <v>67257307.2210431</v>
      </c>
    </row>
    <row r="17" customFormat="false" ht="15" hidden="false" customHeight="false" outlineLevel="0" collapsed="false">
      <c r="A17" s="5" t="s">
        <v>282</v>
      </c>
      <c r="B17" s="20" t="n">
        <v>980000000</v>
      </c>
      <c r="C17" s="6" t="n">
        <f aca="false">B17*0.3</f>
        <v>294000000</v>
      </c>
      <c r="D17" s="6" t="n">
        <f aca="false">B17-C17</f>
        <v>686000000</v>
      </c>
      <c r="E17" s="27" t="n">
        <v>0.08</v>
      </c>
      <c r="F17" s="28" t="n">
        <v>36</v>
      </c>
      <c r="G17" s="6" t="n">
        <f aca="false">PMT(E17/12,F17,-D17)</f>
        <v>21496746.7065416</v>
      </c>
      <c r="H17" s="6" t="n">
        <f aca="false">G17*F17+C17</f>
        <v>1067882881.4355</v>
      </c>
      <c r="I17" s="6" t="n">
        <f aca="false">H17-B17</f>
        <v>87882881.4354965</v>
      </c>
    </row>
    <row r="18" customFormat="false" ht="15" hidden="false" customHeight="false" outlineLevel="0" collapsed="false">
      <c r="A18" s="8" t="s">
        <v>174</v>
      </c>
      <c r="B18" s="21" t="n">
        <v>990000000</v>
      </c>
      <c r="C18" s="9" t="n">
        <f aca="false">B18*0.3</f>
        <v>297000000</v>
      </c>
      <c r="D18" s="9" t="n">
        <f aca="false">B18-C18</f>
        <v>693000000</v>
      </c>
      <c r="E18" s="29" t="n">
        <v>0.08</v>
      </c>
      <c r="F18" s="30" t="n">
        <v>36</v>
      </c>
      <c r="G18" s="9" t="n">
        <f aca="false">PMT(E18/12,F18,-D18)</f>
        <v>21716101.2647716</v>
      </c>
      <c r="H18" s="9" t="n">
        <f aca="false">G18*F18+C18</f>
        <v>1078779645.53178</v>
      </c>
      <c r="I18" s="9" t="n">
        <f aca="false">H18-B18</f>
        <v>88779645.5317769</v>
      </c>
    </row>
    <row r="19" customFormat="false" ht="15" hidden="false" customHeight="false" outlineLevel="0" collapsed="false">
      <c r="A19" s="5" t="s">
        <v>175</v>
      </c>
      <c r="B19" s="20" t="n">
        <v>1535000000</v>
      </c>
      <c r="C19" s="6" t="n">
        <f aca="false">B19*0.3</f>
        <v>460500000</v>
      </c>
      <c r="D19" s="6" t="n">
        <f aca="false">B19-C19</f>
        <v>1074500000</v>
      </c>
      <c r="E19" s="27" t="n">
        <v>0.08</v>
      </c>
      <c r="F19" s="28" t="n">
        <v>36</v>
      </c>
      <c r="G19" s="6" t="n">
        <f aca="false">PMT(E19/12,F19,-D19)</f>
        <v>33670924.6883075</v>
      </c>
      <c r="H19" s="6" t="n">
        <f aca="false">G19*F19+C19</f>
        <v>1672653288.77907</v>
      </c>
      <c r="I19" s="6" t="n">
        <f aca="false">H19-B19</f>
        <v>137653288.779068</v>
      </c>
    </row>
    <row r="20" customFormat="false" ht="15" hidden="false" customHeight="false" outlineLevel="0" collapsed="false">
      <c r="A20" s="8" t="s">
        <v>176</v>
      </c>
      <c r="B20" s="21" t="n">
        <v>1426000000</v>
      </c>
      <c r="C20" s="9" t="n">
        <f aca="false">B20*0.3</f>
        <v>427800000</v>
      </c>
      <c r="D20" s="9" t="n">
        <f aca="false">B20-C20</f>
        <v>998200000</v>
      </c>
      <c r="E20" s="29" t="n">
        <v>0.08</v>
      </c>
      <c r="F20" s="30" t="n">
        <v>36</v>
      </c>
      <c r="G20" s="9" t="n">
        <f aca="false">PMT(E20/12,F20,-D20)</f>
        <v>31279960.0036003</v>
      </c>
      <c r="H20" s="9" t="n">
        <f aca="false">G20*F20+C20</f>
        <v>1553878560.12961</v>
      </c>
      <c r="I20" s="9" t="n">
        <f aca="false">H20-B20</f>
        <v>127878560.12961</v>
      </c>
    </row>
    <row r="21" customFormat="false" ht="15" hidden="false" customHeight="false" outlineLevel="0" collapsed="false">
      <c r="A21" s="5" t="s">
        <v>99</v>
      </c>
      <c r="B21" s="20" t="n">
        <v>2750000000</v>
      </c>
      <c r="C21" s="6" t="n">
        <f aca="false">B21*0.3</f>
        <v>825000000</v>
      </c>
      <c r="D21" s="6" t="n">
        <f aca="false">B21-C21</f>
        <v>1925000000</v>
      </c>
      <c r="E21" s="27" t="n">
        <v>0.08</v>
      </c>
      <c r="F21" s="28" t="n">
        <v>36</v>
      </c>
      <c r="G21" s="6" t="n">
        <f aca="false">PMT(E21/12,F21,-D21)</f>
        <v>60322503.5132544</v>
      </c>
      <c r="H21" s="6" t="n">
        <f aca="false">G21*F21+C21</f>
        <v>2996610126.47716</v>
      </c>
      <c r="I21" s="6" t="n">
        <f aca="false">H21-B21</f>
        <v>246610126.477158</v>
      </c>
    </row>
    <row r="22" customFormat="false" ht="15" hidden="false" customHeight="false" outlineLevel="0" collapsed="false">
      <c r="A22" s="23" t="s">
        <v>223</v>
      </c>
      <c r="B22" s="24" t="n">
        <v>4435000000</v>
      </c>
      <c r="C22" s="25" t="n">
        <f aca="false">B22*0.3</f>
        <v>1330500000</v>
      </c>
      <c r="D22" s="25" t="n">
        <f aca="false">B22-C22</f>
        <v>3104500000</v>
      </c>
      <c r="E22" s="31" t="n">
        <v>0.08</v>
      </c>
      <c r="F22" s="32" t="n">
        <v>36</v>
      </c>
      <c r="G22" s="25" t="n">
        <f aca="false">PMT(E22/12,F22,-D22)</f>
        <v>97283746.5750121</v>
      </c>
      <c r="H22" s="25" t="n">
        <f aca="false">G22*F22+C22</f>
        <v>4832714876.70044</v>
      </c>
      <c r="I22" s="25" t="n">
        <f aca="false">H22-B22</f>
        <v>397714876.700435</v>
      </c>
    </row>
  </sheetData>
  <mergeCells count="3">
    <mergeCell ref="A1:K1"/>
    <mergeCell ref="A2:K2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4" min="3" style="0" width="20"/>
  </cols>
  <sheetData>
    <row r="1" customFormat="false" ht="25.5" hidden="false" customHeight="true" outlineLevel="0" collapsed="false">
      <c r="A1" s="13" t="s">
        <v>283</v>
      </c>
      <c r="B1" s="13"/>
      <c r="C1" s="13"/>
      <c r="D1" s="13"/>
    </row>
    <row r="2" customFormat="false" ht="21.75" hidden="false" customHeight="true" outlineLevel="0" collapsed="false">
      <c r="A2" s="33" t="s">
        <v>284</v>
      </c>
      <c r="B2" s="33" t="s">
        <v>285</v>
      </c>
    </row>
    <row r="3" customFormat="false" ht="18" hidden="false" customHeight="true" outlineLevel="0" collapsed="false">
      <c r="A3" s="34" t="s">
        <v>286</v>
      </c>
      <c r="B3" s="34" t="s">
        <v>287</v>
      </c>
    </row>
    <row r="4" customFormat="false" ht="18" hidden="false" customHeight="true" outlineLevel="0" collapsed="false">
      <c r="A4" s="35" t="s">
        <v>288</v>
      </c>
      <c r="B4" s="35" t="s">
        <v>289</v>
      </c>
    </row>
    <row r="5" customFormat="false" ht="18" hidden="false" customHeight="true" outlineLevel="0" collapsed="false">
      <c r="A5" s="34" t="s">
        <v>290</v>
      </c>
      <c r="B5" s="34" t="s">
        <v>291</v>
      </c>
    </row>
    <row r="6" customFormat="false" ht="18" hidden="false" customHeight="true" outlineLevel="0" collapsed="false">
      <c r="A6" s="35" t="s">
        <v>292</v>
      </c>
      <c r="B6" s="35" t="s">
        <v>293</v>
      </c>
    </row>
    <row r="7" customFormat="false" ht="18" hidden="false" customHeight="true" outlineLevel="0" collapsed="false">
      <c r="A7" s="34" t="s">
        <v>294</v>
      </c>
      <c r="B7" s="34" t="s">
        <v>295</v>
      </c>
    </row>
    <row r="8" customFormat="false" ht="18" hidden="false" customHeight="true" outlineLevel="0" collapsed="false">
      <c r="A8" s="35"/>
      <c r="B8" s="35"/>
    </row>
    <row r="9" customFormat="false" ht="21.75" hidden="false" customHeight="true" outlineLevel="0" collapsed="false">
      <c r="A9" s="33" t="s">
        <v>296</v>
      </c>
      <c r="B9" s="33" t="s">
        <v>297</v>
      </c>
    </row>
    <row r="10" customFormat="false" ht="18" hidden="false" customHeight="true" outlineLevel="0" collapsed="false">
      <c r="A10" s="35" t="s">
        <v>298</v>
      </c>
      <c r="B10" s="35" t="s">
        <v>299</v>
      </c>
    </row>
    <row r="11" customFormat="false" ht="18" hidden="false" customHeight="true" outlineLevel="0" collapsed="false">
      <c r="A11" s="34" t="s">
        <v>300</v>
      </c>
      <c r="B11" s="34" t="s">
        <v>301</v>
      </c>
    </row>
    <row r="12" customFormat="false" ht="18" hidden="false" customHeight="true" outlineLevel="0" collapsed="false">
      <c r="A12" s="35" t="s">
        <v>302</v>
      </c>
      <c r="B12" s="35" t="s">
        <v>303</v>
      </c>
    </row>
    <row r="13" customFormat="false" ht="18" hidden="false" customHeight="true" outlineLevel="0" collapsed="false">
      <c r="A13" s="34" t="s">
        <v>304</v>
      </c>
      <c r="B13" s="34" t="s">
        <v>305</v>
      </c>
    </row>
    <row r="14" customFormat="false" ht="18" hidden="false" customHeight="true" outlineLevel="0" collapsed="false">
      <c r="A14" s="35"/>
      <c r="B14" s="35"/>
    </row>
    <row r="15" customFormat="false" ht="21.75" hidden="false" customHeight="true" outlineLevel="0" collapsed="false">
      <c r="A15" s="33" t="s">
        <v>306</v>
      </c>
      <c r="B15" s="33"/>
    </row>
    <row r="16" customFormat="false" ht="18" hidden="false" customHeight="true" outlineLevel="0" collapsed="false">
      <c r="A16" s="35" t="s">
        <v>307</v>
      </c>
      <c r="B16" s="35" t="s">
        <v>308</v>
      </c>
    </row>
    <row r="17" customFormat="false" ht="18" hidden="false" customHeight="true" outlineLevel="0" collapsed="false">
      <c r="A17" s="34" t="s">
        <v>309</v>
      </c>
      <c r="B17" s="34" t="s">
        <v>310</v>
      </c>
    </row>
    <row r="18" customFormat="false" ht="18" hidden="false" customHeight="true" outlineLevel="0" collapsed="false">
      <c r="A18" s="35" t="s">
        <v>311</v>
      </c>
      <c r="B18" s="35" t="s">
        <v>312</v>
      </c>
    </row>
    <row r="19" customFormat="false" ht="18" hidden="false" customHeight="true" outlineLevel="0" collapsed="false">
      <c r="A19" s="34" t="s">
        <v>313</v>
      </c>
      <c r="B19" s="34" t="s">
        <v>314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2026-04-07T08:05:42Z</dcterms:created>
  <dc:creator>openpyxl</dc:creator>
  <dc:description/>
  <dc:language>en-US</dc:language>
  <cp:lastModifiedBy/>
  <dcterms:modified xsi:type="dcterms:W3CDTF">2026-04-07T08:05:42Z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